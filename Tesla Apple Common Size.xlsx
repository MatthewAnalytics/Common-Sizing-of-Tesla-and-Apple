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6NndA4jujmTraeFXIBw/eDJB369b5eBt0mrWYas3lQ="/>
    </ext>
  </extLst>
</workbook>
</file>

<file path=xl/sharedStrings.xml><?xml version="1.0" encoding="utf-8"?>
<sst xmlns="http://schemas.openxmlformats.org/spreadsheetml/2006/main" count="270" uniqueCount="111">
  <si>
    <t>Financial Statement for: TESLA INC</t>
  </si>
  <si>
    <t>Financial Statement for: APPLE INC</t>
  </si>
  <si>
    <t>BALANCE SHEET</t>
  </si>
  <si>
    <t>ASSETS</t>
  </si>
  <si>
    <t>Cash and Short-Term Investments</t>
  </si>
  <si>
    <t xml:space="preserve">            Cash</t>
  </si>
  <si>
    <t xml:space="preserve">            Short-Term Investments</t>
  </si>
  <si>
    <t>Receivables</t>
  </si>
  <si>
    <t xml:space="preserve">            Receivables - Trade</t>
  </si>
  <si>
    <t xml:space="preserve">            Income Tax Refund</t>
  </si>
  <si>
    <t xml:space="preserve">            Current Receivables - Other</t>
  </si>
  <si>
    <t>Inventories - Total</t>
  </si>
  <si>
    <t xml:space="preserve">            Inventories - Raw Materials</t>
  </si>
  <si>
    <t>.</t>
  </si>
  <si>
    <t xml:space="preserve">            Inventories - Work in Process</t>
  </si>
  <si>
    <t xml:space="preserve">            Inventories - Finished Goods</t>
  </si>
  <si>
    <t xml:space="preserve">            Inventories - Other</t>
  </si>
  <si>
    <t>Current Assets - Other</t>
  </si>
  <si>
    <t xml:space="preserve">            Prepaid Expense</t>
  </si>
  <si>
    <t xml:space="preserve">            Other Curr.Asst, Excl.Ppd.Exp.</t>
  </si>
  <si>
    <t>Current Assets - Total</t>
  </si>
  <si>
    <t>Prop.Plant &amp; Equip.- Total (Net)</t>
  </si>
  <si>
    <t xml:space="preserve">            P.P.&amp; E.- Total (Gross)</t>
  </si>
  <si>
    <t xml:space="preserve">            Deprec.Depl.&amp; Amort.</t>
  </si>
  <si>
    <t>Invest. &amp; Advances - Eq.Meth.</t>
  </si>
  <si>
    <t>Invest. &amp; Advances - Other</t>
  </si>
  <si>
    <t>Intangibles</t>
  </si>
  <si>
    <t>Assets - Other</t>
  </si>
  <si>
    <t xml:space="preserve">            Deferred Charges</t>
  </si>
  <si>
    <t xml:space="preserve">            Other Asst., Excl.Def.Chg.</t>
  </si>
  <si>
    <t>Assets - Total</t>
  </si>
  <si>
    <t>LIABILITIES</t>
  </si>
  <si>
    <t>Debt in Current Liabilities</t>
  </si>
  <si>
    <t xml:space="preserve">            Notes Payable</t>
  </si>
  <si>
    <t xml:space="preserve">            Debt - Due in One Year</t>
  </si>
  <si>
    <t>Accounts Payable</t>
  </si>
  <si>
    <t>Income Taxes Payable</t>
  </si>
  <si>
    <t>Current Liabilities - Other</t>
  </si>
  <si>
    <t xml:space="preserve">            Accrued Expense</t>
  </si>
  <si>
    <t xml:space="preserve">            Other Curr.Liab., Excl.Accr.Exp.</t>
  </si>
  <si>
    <t>Current Liabilities - Total</t>
  </si>
  <si>
    <t>Long-Term Debt - Total</t>
  </si>
  <si>
    <t xml:space="preserve">            Debt - Convertible (Total)</t>
  </si>
  <si>
    <t xml:space="preserve">            Debt - Subordinated Convertible</t>
  </si>
  <si>
    <t xml:space="preserve">            Debt - Senior Convertible</t>
  </si>
  <si>
    <t xml:space="preserve">            Debt - Subordinated</t>
  </si>
  <si>
    <t xml:space="preserve">            Debt - Notes</t>
  </si>
  <si>
    <t xml:space="preserve">            Debt - Debentures</t>
  </si>
  <si>
    <t xml:space="preserve">            Long-Term Debt - Other</t>
  </si>
  <si>
    <t xml:space="preserve">            Debt - Cap. Lease Oblig.</t>
  </si>
  <si>
    <t>Liabilities - Other</t>
  </si>
  <si>
    <t>Def. Taxes and Invest.Tax Cred.</t>
  </si>
  <si>
    <t xml:space="preserve">            Deferred Taxes</t>
  </si>
  <si>
    <t xml:space="preserve">            Investment Tax Credit</t>
  </si>
  <si>
    <t>Noncontrolling Interest - Redeemable</t>
  </si>
  <si>
    <t>Liabilities - Total</t>
  </si>
  <si>
    <t>SHAREHOLDERS' EQUITY</t>
  </si>
  <si>
    <t>Preferred Stock - Carrying Value</t>
  </si>
  <si>
    <t xml:space="preserve">            Pref. Stock - Redeemable</t>
  </si>
  <si>
    <t xml:space="preserve">            Pref. Stock - Nonredeemable</t>
  </si>
  <si>
    <t>Common Equity - Total</t>
  </si>
  <si>
    <t xml:space="preserve">            Common Stock</t>
  </si>
  <si>
    <t xml:space="preserve">            Capital Surplus</t>
  </si>
  <si>
    <t xml:space="preserve">            Retained Earnings</t>
  </si>
  <si>
    <t xml:space="preserve">            Less: Treas.Stock - Total $ Amt.</t>
  </si>
  <si>
    <t>Shareholders Equity - Parent</t>
  </si>
  <si>
    <t>Noncontrolling Interest - Nonredeemable</t>
  </si>
  <si>
    <t>Shareholders Equity - Total</t>
  </si>
  <si>
    <t>Total Liabilities and Shareholders Equity</t>
  </si>
  <si>
    <t>INCOME STATEMENT</t>
  </si>
  <si>
    <t>Sales (Net)</t>
  </si>
  <si>
    <t>Cost of Goods Sold</t>
  </si>
  <si>
    <t>Selling, General, and Administrative Expense</t>
  </si>
  <si>
    <t>Operating Income Before Depreciation</t>
  </si>
  <si>
    <t>"EBITDA"</t>
  </si>
  <si>
    <t>Depreciation and Amortization</t>
  </si>
  <si>
    <t xml:space="preserve">            Amortization of Intangibles</t>
  </si>
  <si>
    <t xml:space="preserve">            Depreciation Expense (Schedule VI)</t>
  </si>
  <si>
    <t xml:space="preserve">            Depletion Expense (Schedule VI)</t>
  </si>
  <si>
    <t>Operating Income After Depreciation</t>
  </si>
  <si>
    <t>"EBIT"</t>
  </si>
  <si>
    <t>Interest Expense</t>
  </si>
  <si>
    <t>Nonoperating Income (Expense)</t>
  </si>
  <si>
    <t xml:space="preserve">            Nonoperating Income (Expense) - Excluding Interest Income</t>
  </si>
  <si>
    <t xml:space="preserve">            Interest Income</t>
  </si>
  <si>
    <t>Special Items</t>
  </si>
  <si>
    <t>Pretax Income</t>
  </si>
  <si>
    <t>"EBT"</t>
  </si>
  <si>
    <t xml:space="preserve">            Pretax Income - Domestic</t>
  </si>
  <si>
    <t xml:space="preserve">            Pretax Income - Foreign</t>
  </si>
  <si>
    <t>Income Taxes - Total</t>
  </si>
  <si>
    <t xml:space="preserve">            Deferred Taxes (Income Account)</t>
  </si>
  <si>
    <t xml:space="preserve">                        Deferred Taxes - Federal</t>
  </si>
  <si>
    <t xml:space="preserve">                        Deferred Taxes - Foreign</t>
  </si>
  <si>
    <t xml:space="preserve">                        Deferred Taxes - State</t>
  </si>
  <si>
    <t xml:space="preserve">            Income Taxes - Federal</t>
  </si>
  <si>
    <t xml:space="preserve">            Income Taxes - Foreign</t>
  </si>
  <si>
    <t xml:space="preserve">            Income Taxes - State</t>
  </si>
  <si>
    <t xml:space="preserve">            Income Taxes - Other</t>
  </si>
  <si>
    <t>Minority Interest</t>
  </si>
  <si>
    <t>Income Before Extraordinary Items</t>
  </si>
  <si>
    <t>Dividends - Preferred</t>
  </si>
  <si>
    <t>Income Before Extraordinary Items - Available for Common</t>
  </si>
  <si>
    <t>Common Stock Equivalents - Dollar Savings</t>
  </si>
  <si>
    <t>Income Before Extraordinary Items - Adjusted for Common Stock Equivalents</t>
  </si>
  <si>
    <t>Extraordinary Items and Discontinued Operations</t>
  </si>
  <si>
    <t xml:space="preserve">            Extraordinary Items</t>
  </si>
  <si>
    <t xml:space="preserve">            Discounted Operations</t>
  </si>
  <si>
    <t>Net Income Adjusted for Common Stock Equivalents</t>
  </si>
  <si>
    <t>Net Income (Loss)</t>
  </si>
  <si>
    <t>"Earnings"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</si>
</sst>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,###,##0.000"/>
    <numFmt numFmtId="165" formatCode="#,##0.000"/>
  </numFmts>
  <fonts count="3">
    <font>
      <sz val="12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0" fillId="0" fontId="2" numFmtId="164" xfId="0" applyFont="1" applyNumberFormat="1"/>
    <xf borderId="0" fillId="0" fontId="2" numFmtId="9" xfId="0" applyFont="1" applyNumberFormat="1"/>
    <xf borderId="0" fillId="0" fontId="2" numFmtId="9" xfId="0" applyAlignment="1" applyFont="1" applyNumberFormat="1">
      <alignment readingOrder="0"/>
    </xf>
    <xf borderId="0" fillId="0" fontId="1" numFmtId="164" xfId="0" applyFont="1" applyNumberFormat="1"/>
    <xf borderId="0" fillId="0" fontId="1" numFmtId="9" xfId="0" applyFont="1" applyNumberFormat="1"/>
    <xf borderId="1" fillId="3" fontId="1" numFmtId="0" xfId="0" applyBorder="1" applyFill="1" applyFont="1"/>
    <xf borderId="1" fillId="3" fontId="1" numFmtId="164" xfId="0" applyBorder="1" applyFont="1" applyNumberFormat="1"/>
    <xf borderId="1" fillId="3" fontId="1" numFmtId="9" xfId="0" applyBorder="1" applyFont="1" applyNumberFormat="1"/>
    <xf borderId="0" fillId="3" fontId="1" numFmtId="9" xfId="0" applyFont="1" applyNumberFormat="1"/>
    <xf borderId="1" fillId="3" fontId="1" numFmtId="165" xfId="0" applyBorder="1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6.67"/>
    <col customWidth="1" min="2" max="3" width="11.67"/>
    <col customWidth="1" min="4" max="4" width="12.67"/>
    <col customWidth="1" min="5" max="5" width="10.78"/>
    <col customWidth="1" min="6" max="7" width="11.33"/>
    <col customWidth="1" min="8" max="10" width="10.78"/>
    <col customWidth="1" min="11" max="11" width="56.67"/>
    <col customWidth="1" min="12" max="14" width="12.78"/>
    <col customWidth="1" min="15" max="15" width="10.78"/>
    <col customWidth="1" min="16" max="17" width="11.33"/>
    <col customWidth="1" min="18" max="19" width="10.78"/>
    <col customWidth="1" min="20" max="26" width="10.56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1"/>
      <c r="B3" s="1">
        <v>2021.0</v>
      </c>
      <c r="C3" s="1">
        <v>2022.0</v>
      </c>
      <c r="D3" s="1">
        <v>2023.0</v>
      </c>
      <c r="E3" s="2"/>
      <c r="F3" s="1">
        <v>2021.0</v>
      </c>
      <c r="G3" s="1">
        <v>2022.0</v>
      </c>
      <c r="H3" s="1">
        <v>2023.0</v>
      </c>
      <c r="I3" s="2"/>
      <c r="J3" s="2"/>
      <c r="K3" s="1"/>
      <c r="L3" s="1">
        <v>2021.0</v>
      </c>
      <c r="M3" s="1">
        <v>2022.0</v>
      </c>
      <c r="N3" s="1">
        <v>2023.0</v>
      </c>
      <c r="O3" s="2"/>
      <c r="P3" s="1">
        <v>2021.0</v>
      </c>
      <c r="Q3" s="1">
        <v>2022.0</v>
      </c>
      <c r="R3" s="1">
        <v>2023.0</v>
      </c>
      <c r="S3" s="2"/>
      <c r="T3" s="2"/>
      <c r="U3" s="2"/>
      <c r="V3" s="2"/>
      <c r="W3" s="2"/>
      <c r="X3" s="2"/>
      <c r="Y3" s="2"/>
      <c r="Z3" s="2"/>
    </row>
    <row r="4" ht="13.5" customHeight="1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3" t="s">
        <v>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1" t="s">
        <v>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2" t="s">
        <v>4</v>
      </c>
      <c r="B6" s="4">
        <v>18052.0</v>
      </c>
      <c r="C6" s="4">
        <v>22479.0</v>
      </c>
      <c r="D6" s="4">
        <v>29637.0</v>
      </c>
      <c r="E6" s="2"/>
      <c r="F6" s="5">
        <f t="shared" ref="F6:G6" si="1">B6/B$32</f>
        <v>0.2905473918</v>
      </c>
      <c r="G6" s="5">
        <f t="shared" si="1"/>
        <v>0.2730088173</v>
      </c>
      <c r="H6" s="6">
        <v>0.277</v>
      </c>
      <c r="I6" s="2"/>
      <c r="J6" s="2"/>
      <c r="K6" s="2" t="s">
        <v>4</v>
      </c>
      <c r="L6" s="4">
        <v>62639.0</v>
      </c>
      <c r="M6" s="4">
        <v>48304.0</v>
      </c>
      <c r="N6" s="4">
        <v>61555.0</v>
      </c>
      <c r="O6" s="2"/>
      <c r="P6" s="5">
        <f t="shared" ref="P6:R6" si="2">L6/L$32</f>
        <v>0.1784576726</v>
      </c>
      <c r="Q6" s="5">
        <f t="shared" si="2"/>
        <v>0.1369335658</v>
      </c>
      <c r="R6" s="5">
        <f t="shared" si="2"/>
        <v>0.174583006</v>
      </c>
      <c r="S6" s="2"/>
      <c r="T6" s="2"/>
      <c r="U6" s="2"/>
      <c r="V6" s="2"/>
      <c r="W6" s="2"/>
      <c r="X6" s="2"/>
      <c r="Y6" s="2"/>
      <c r="Z6" s="2"/>
    </row>
    <row r="7" ht="13.5" customHeight="1">
      <c r="A7" s="2" t="s">
        <v>5</v>
      </c>
      <c r="B7" s="4">
        <v>17576.0</v>
      </c>
      <c r="C7" s="4">
        <v>16253.0</v>
      </c>
      <c r="D7" s="4">
        <v>16398.0</v>
      </c>
      <c r="E7" s="2"/>
      <c r="F7" s="5">
        <f t="shared" ref="F7:H7" si="3">B7/B$32</f>
        <v>0.2828861599</v>
      </c>
      <c r="G7" s="5">
        <f t="shared" si="3"/>
        <v>0.19739367</v>
      </c>
      <c r="H7" s="5">
        <f t="shared" si="3"/>
        <v>0.1538014219</v>
      </c>
      <c r="I7" s="2"/>
      <c r="J7" s="2"/>
      <c r="K7" s="2" t="s">
        <v>5</v>
      </c>
      <c r="L7" s="4">
        <v>34940.0</v>
      </c>
      <c r="M7" s="4">
        <v>23646.0</v>
      </c>
      <c r="N7" s="4">
        <v>29965.0</v>
      </c>
      <c r="O7" s="2"/>
      <c r="P7" s="5">
        <f t="shared" ref="P7:R7" si="4">L7/L$32</f>
        <v>0.09954359234</v>
      </c>
      <c r="Q7" s="5">
        <f t="shared" si="4"/>
        <v>0.06703235957</v>
      </c>
      <c r="R7" s="5">
        <f t="shared" si="4"/>
        <v>0.08498708106</v>
      </c>
      <c r="S7" s="2"/>
      <c r="T7" s="2"/>
      <c r="U7" s="2"/>
      <c r="V7" s="2"/>
      <c r="W7" s="2"/>
      <c r="X7" s="2"/>
      <c r="Y7" s="2"/>
      <c r="Z7" s="2"/>
    </row>
    <row r="8" ht="13.5" customHeight="1">
      <c r="A8" s="2" t="s">
        <v>6</v>
      </c>
      <c r="B8" s="4">
        <v>476.0</v>
      </c>
      <c r="C8" s="4">
        <v>6226.0</v>
      </c>
      <c r="D8" s="4">
        <v>13239.0</v>
      </c>
      <c r="E8" s="2"/>
      <c r="F8" s="5">
        <f t="shared" ref="F8:H8" si="5">B8/B$32</f>
        <v>0.007661231913</v>
      </c>
      <c r="G8" s="5">
        <f t="shared" si="5"/>
        <v>0.07561514732</v>
      </c>
      <c r="H8" s="5">
        <f t="shared" si="5"/>
        <v>0.1241722786</v>
      </c>
      <c r="I8" s="2"/>
      <c r="J8" s="2"/>
      <c r="K8" s="2" t="s">
        <v>6</v>
      </c>
      <c r="L8" s="4">
        <v>27699.0</v>
      </c>
      <c r="M8" s="4">
        <v>24658.0</v>
      </c>
      <c r="N8" s="4">
        <v>31590.0</v>
      </c>
      <c r="O8" s="2"/>
      <c r="P8" s="5">
        <f t="shared" ref="P8:R8" si="6">L8/L$32</f>
        <v>0.07891408026</v>
      </c>
      <c r="Q8" s="5">
        <f t="shared" si="6"/>
        <v>0.06990120622</v>
      </c>
      <c r="R8" s="5">
        <f t="shared" si="6"/>
        <v>0.08959592493</v>
      </c>
      <c r="S8" s="2"/>
      <c r="T8" s="2"/>
      <c r="U8" s="2"/>
      <c r="V8" s="2"/>
      <c r="W8" s="2"/>
      <c r="X8" s="2"/>
      <c r="Y8" s="2"/>
      <c r="Z8" s="2"/>
    </row>
    <row r="9" ht="13.5" customHeight="1">
      <c r="A9" s="2" t="s">
        <v>7</v>
      </c>
      <c r="B9" s="4">
        <v>1997.0</v>
      </c>
      <c r="C9" s="4">
        <v>3123.0</v>
      </c>
      <c r="D9" s="4">
        <v>3702.0</v>
      </c>
      <c r="E9" s="2"/>
      <c r="F9" s="5">
        <f t="shared" ref="F9:H9" si="7">B9/B$32</f>
        <v>0.03214176498</v>
      </c>
      <c r="G9" s="5">
        <f t="shared" si="7"/>
        <v>0.03792902427</v>
      </c>
      <c r="H9" s="5">
        <f t="shared" si="7"/>
        <v>0.03472209195</v>
      </c>
      <c r="I9" s="2"/>
      <c r="J9" s="2"/>
      <c r="K9" s="2" t="s">
        <v>7</v>
      </c>
      <c r="L9" s="4">
        <v>51506.0</v>
      </c>
      <c r="M9" s="4">
        <v>60932.0</v>
      </c>
      <c r="N9" s="4">
        <v>60985.0</v>
      </c>
      <c r="O9" s="2"/>
      <c r="P9" s="5">
        <f t="shared" ref="P9:R9" si="8">L9/L$32</f>
        <v>0.1467399046</v>
      </c>
      <c r="Q9" s="5">
        <f t="shared" si="8"/>
        <v>0.1727317827</v>
      </c>
      <c r="R9" s="5">
        <f t="shared" si="8"/>
        <v>0.1729663654</v>
      </c>
      <c r="S9" s="2"/>
      <c r="T9" s="2"/>
      <c r="U9" s="2"/>
      <c r="V9" s="2"/>
      <c r="W9" s="2"/>
      <c r="X9" s="2"/>
      <c r="Y9" s="2"/>
      <c r="Z9" s="2"/>
    </row>
    <row r="10" ht="13.5" customHeight="1">
      <c r="A10" s="2" t="s">
        <v>8</v>
      </c>
      <c r="B10" s="4">
        <v>1986.0</v>
      </c>
      <c r="C10" s="4">
        <v>3116.0</v>
      </c>
      <c r="D10" s="4">
        <v>3697.0</v>
      </c>
      <c r="E10" s="2"/>
      <c r="F10" s="5">
        <f t="shared" ref="F10:H10" si="9">B10/B$32</f>
        <v>0.03196471971</v>
      </c>
      <c r="G10" s="5">
        <f t="shared" si="9"/>
        <v>0.03784400884</v>
      </c>
      <c r="H10" s="5">
        <f t="shared" si="9"/>
        <v>0.03467519556</v>
      </c>
      <c r="I10" s="2"/>
      <c r="J10" s="2"/>
      <c r="K10" s="2" t="s">
        <v>8</v>
      </c>
      <c r="L10" s="4">
        <v>26278.0</v>
      </c>
      <c r="M10" s="4">
        <v>28184.0</v>
      </c>
      <c r="N10" s="4">
        <v>29508.0</v>
      </c>
      <c r="O10" s="2"/>
      <c r="P10" s="5">
        <f t="shared" ref="P10:R10" si="10">L10/L$32</f>
        <v>0.07486567028</v>
      </c>
      <c r="Q10" s="5">
        <f t="shared" si="10"/>
        <v>0.07989681224</v>
      </c>
      <c r="R10" s="5">
        <f t="shared" si="10"/>
        <v>0.08369093235</v>
      </c>
      <c r="S10" s="2"/>
      <c r="T10" s="2"/>
      <c r="U10" s="2"/>
      <c r="V10" s="2"/>
      <c r="W10" s="2"/>
      <c r="X10" s="2"/>
      <c r="Y10" s="2"/>
      <c r="Z10" s="2"/>
    </row>
    <row r="11" ht="13.5" customHeight="1">
      <c r="A11" s="2" t="s">
        <v>9</v>
      </c>
      <c r="B11" s="4">
        <v>0.0</v>
      </c>
      <c r="C11" s="4">
        <v>0.0</v>
      </c>
      <c r="D11" s="4">
        <v>0.0</v>
      </c>
      <c r="E11" s="2"/>
      <c r="F11" s="5">
        <f t="shared" ref="F11:H11" si="11">B11/B$32</f>
        <v>0</v>
      </c>
      <c r="G11" s="5">
        <f t="shared" si="11"/>
        <v>0</v>
      </c>
      <c r="H11" s="5">
        <f t="shared" si="11"/>
        <v>0</v>
      </c>
      <c r="I11" s="2"/>
      <c r="J11" s="2"/>
      <c r="K11" s="2" t="s">
        <v>9</v>
      </c>
      <c r="L11" s="4">
        <v>0.0</v>
      </c>
      <c r="M11" s="4">
        <v>0.0</v>
      </c>
      <c r="N11" s="4">
        <v>0.0</v>
      </c>
      <c r="O11" s="2"/>
      <c r="P11" s="5">
        <f t="shared" ref="P11:R11" si="12">L11/L$32</f>
        <v>0</v>
      </c>
      <c r="Q11" s="5">
        <f t="shared" si="12"/>
        <v>0</v>
      </c>
      <c r="R11" s="5">
        <f t="shared" si="12"/>
        <v>0</v>
      </c>
      <c r="S11" s="2"/>
      <c r="T11" s="2"/>
      <c r="U11" s="2"/>
      <c r="V11" s="2"/>
      <c r="W11" s="2"/>
      <c r="X11" s="2"/>
      <c r="Y11" s="2"/>
      <c r="Z11" s="2"/>
    </row>
    <row r="12" ht="13.5" customHeight="1">
      <c r="A12" s="2" t="s">
        <v>10</v>
      </c>
      <c r="B12" s="4">
        <v>11.0</v>
      </c>
      <c r="C12" s="4">
        <v>7.0</v>
      </c>
      <c r="D12" s="4">
        <v>5.0</v>
      </c>
      <c r="E12" s="2"/>
      <c r="F12" s="5">
        <f t="shared" ref="F12:H12" si="13">B12/B$32</f>
        <v>0.0001770452753</v>
      </c>
      <c r="G12" s="5">
        <f t="shared" si="13"/>
        <v>0.00008501542423</v>
      </c>
      <c r="H12" s="5">
        <f t="shared" si="13"/>
        <v>0.00004689639648</v>
      </c>
      <c r="I12" s="2"/>
      <c r="J12" s="2"/>
      <c r="K12" s="2" t="s">
        <v>10</v>
      </c>
      <c r="L12" s="4">
        <v>25228.0</v>
      </c>
      <c r="M12" s="4">
        <v>32748.0</v>
      </c>
      <c r="N12" s="4">
        <v>31477.0</v>
      </c>
      <c r="O12" s="2"/>
      <c r="P12" s="5">
        <f t="shared" ref="P12:R12" si="14">L12/L$32</f>
        <v>0.07187423433</v>
      </c>
      <c r="Q12" s="5">
        <f t="shared" si="14"/>
        <v>0.09283497045</v>
      </c>
      <c r="R12" s="5">
        <f t="shared" si="14"/>
        <v>0.08927543302</v>
      </c>
      <c r="S12" s="2"/>
      <c r="T12" s="2"/>
      <c r="U12" s="2"/>
      <c r="V12" s="2"/>
      <c r="W12" s="2"/>
      <c r="X12" s="2"/>
      <c r="Y12" s="2"/>
      <c r="Z12" s="2"/>
    </row>
    <row r="13" ht="13.5" customHeight="1">
      <c r="A13" s="2" t="s">
        <v>11</v>
      </c>
      <c r="B13" s="4">
        <v>5757.0</v>
      </c>
      <c r="C13" s="4">
        <v>12839.0</v>
      </c>
      <c r="D13" s="4">
        <v>13626.0</v>
      </c>
      <c r="E13" s="2"/>
      <c r="F13" s="5">
        <f t="shared" ref="F13:H13" si="15">B13/B$32</f>
        <v>0.09265905908</v>
      </c>
      <c r="G13" s="5">
        <f t="shared" si="15"/>
        <v>0.1559304331</v>
      </c>
      <c r="H13" s="5">
        <f t="shared" si="15"/>
        <v>0.1278020597</v>
      </c>
      <c r="I13" s="2"/>
      <c r="J13" s="2"/>
      <c r="K13" s="2" t="s">
        <v>11</v>
      </c>
      <c r="L13" s="4">
        <v>6580.0</v>
      </c>
      <c r="M13" s="4">
        <v>4946.0</v>
      </c>
      <c r="N13" s="4">
        <v>6331.0</v>
      </c>
      <c r="O13" s="2"/>
      <c r="P13" s="5">
        <f t="shared" ref="P13:R13" si="16">L13/L$32</f>
        <v>0.01874633193</v>
      </c>
      <c r="Q13" s="5">
        <f t="shared" si="16"/>
        <v>0.01402106278</v>
      </c>
      <c r="R13" s="5">
        <f t="shared" si="16"/>
        <v>0.01795605574</v>
      </c>
      <c r="S13" s="2"/>
      <c r="T13" s="2"/>
      <c r="U13" s="2"/>
      <c r="V13" s="2"/>
      <c r="W13" s="2"/>
      <c r="X13" s="2"/>
      <c r="Y13" s="2"/>
      <c r="Z13" s="2"/>
    </row>
    <row r="14" ht="13.5" customHeight="1">
      <c r="A14" s="2" t="s">
        <v>12</v>
      </c>
      <c r="B14" s="4">
        <v>3391.0</v>
      </c>
      <c r="C14" s="4">
        <v>6979.0</v>
      </c>
      <c r="D14" s="4">
        <v>6561.0</v>
      </c>
      <c r="E14" s="2"/>
      <c r="F14" s="5">
        <f t="shared" ref="F14:H14" si="17">B14/B$32</f>
        <v>0.05457822987</v>
      </c>
      <c r="G14" s="5">
        <f t="shared" si="17"/>
        <v>0.08476037795</v>
      </c>
      <c r="H14" s="5">
        <f t="shared" si="17"/>
        <v>0.06153745146</v>
      </c>
      <c r="I14" s="2"/>
      <c r="J14" s="2"/>
      <c r="K14" s="2" t="s">
        <v>12</v>
      </c>
      <c r="L14" s="2" t="s">
        <v>13</v>
      </c>
      <c r="M14" s="2" t="s">
        <v>13</v>
      </c>
      <c r="N14" s="2" t="s">
        <v>13</v>
      </c>
      <c r="O14" s="2"/>
      <c r="P14" s="5">
        <v>0.0</v>
      </c>
      <c r="Q14" s="5">
        <v>0.0</v>
      </c>
      <c r="R14" s="5">
        <v>0.0</v>
      </c>
      <c r="S14" s="2"/>
      <c r="T14" s="2"/>
      <c r="U14" s="2"/>
      <c r="V14" s="2"/>
      <c r="W14" s="2"/>
      <c r="X14" s="2"/>
      <c r="Y14" s="2"/>
      <c r="Z14" s="2"/>
    </row>
    <row r="15" ht="13.5" customHeight="1">
      <c r="A15" s="2" t="s">
        <v>14</v>
      </c>
      <c r="B15" s="4">
        <v>1089.0</v>
      </c>
      <c r="C15" s="4">
        <v>2385.0</v>
      </c>
      <c r="D15" s="4">
        <v>2016.0</v>
      </c>
      <c r="E15" s="2"/>
      <c r="F15" s="5">
        <f t="shared" ref="F15:H15" si="18">B15/B$32</f>
        <v>0.01752748226</v>
      </c>
      <c r="G15" s="5">
        <f t="shared" si="18"/>
        <v>0.02896596954</v>
      </c>
      <c r="H15" s="5">
        <f t="shared" si="18"/>
        <v>0.01890862706</v>
      </c>
      <c r="I15" s="2"/>
      <c r="J15" s="2"/>
      <c r="K15" s="2" t="s">
        <v>14</v>
      </c>
      <c r="L15" s="2" t="s">
        <v>13</v>
      </c>
      <c r="M15" s="2" t="s">
        <v>13</v>
      </c>
      <c r="N15" s="2" t="s">
        <v>13</v>
      </c>
      <c r="O15" s="2"/>
      <c r="P15" s="5">
        <v>0.0</v>
      </c>
      <c r="Q15" s="5">
        <v>0.0</v>
      </c>
      <c r="R15" s="5">
        <v>0.0</v>
      </c>
      <c r="S15" s="2"/>
      <c r="T15" s="2"/>
      <c r="U15" s="2"/>
      <c r="V15" s="2"/>
      <c r="W15" s="2"/>
      <c r="X15" s="2"/>
      <c r="Y15" s="2"/>
      <c r="Z15" s="2"/>
    </row>
    <row r="16" ht="13.5" customHeight="1">
      <c r="A16" s="2" t="s">
        <v>15</v>
      </c>
      <c r="B16" s="4">
        <v>1277.0</v>
      </c>
      <c r="C16" s="4">
        <v>3475.0</v>
      </c>
      <c r="D16" s="4">
        <v>5049.0</v>
      </c>
      <c r="E16" s="2"/>
      <c r="F16" s="5">
        <f t="shared" ref="F16:H16" si="19">B16/B$32</f>
        <v>0.02055334696</v>
      </c>
      <c r="G16" s="5">
        <f t="shared" si="19"/>
        <v>0.0422040856</v>
      </c>
      <c r="H16" s="5">
        <f t="shared" si="19"/>
        <v>0.04735598117</v>
      </c>
      <c r="I16" s="2"/>
      <c r="J16" s="2"/>
      <c r="K16" s="2" t="s">
        <v>15</v>
      </c>
      <c r="L16" s="2" t="s">
        <v>13</v>
      </c>
      <c r="M16" s="2" t="s">
        <v>13</v>
      </c>
      <c r="N16" s="2" t="s">
        <v>13</v>
      </c>
      <c r="O16" s="2"/>
      <c r="P16" s="5">
        <v>0.0</v>
      </c>
      <c r="Q16" s="5">
        <v>0.0</v>
      </c>
      <c r="R16" s="5">
        <v>0.0</v>
      </c>
      <c r="S16" s="2"/>
      <c r="T16" s="2"/>
      <c r="U16" s="2"/>
      <c r="V16" s="2"/>
      <c r="W16" s="2"/>
      <c r="X16" s="2"/>
      <c r="Y16" s="2"/>
      <c r="Z16" s="2"/>
    </row>
    <row r="17" ht="13.5" customHeight="1">
      <c r="A17" s="2" t="s">
        <v>16</v>
      </c>
      <c r="B17" s="4">
        <v>0.0</v>
      </c>
      <c r="C17" s="4">
        <v>0.0</v>
      </c>
      <c r="D17" s="4">
        <v>0.0</v>
      </c>
      <c r="E17" s="2"/>
      <c r="F17" s="5">
        <f t="shared" ref="F17:H17" si="20">B17/B$32</f>
        <v>0</v>
      </c>
      <c r="G17" s="5">
        <f t="shared" si="20"/>
        <v>0</v>
      </c>
      <c r="H17" s="5">
        <f t="shared" si="20"/>
        <v>0</v>
      </c>
      <c r="I17" s="2"/>
      <c r="J17" s="2"/>
      <c r="K17" s="2" t="s">
        <v>16</v>
      </c>
      <c r="L17" s="2" t="s">
        <v>13</v>
      </c>
      <c r="M17" s="2" t="s">
        <v>13</v>
      </c>
      <c r="N17" s="2" t="s">
        <v>13</v>
      </c>
      <c r="O17" s="2"/>
      <c r="P17" s="5">
        <v>0.0</v>
      </c>
      <c r="Q17" s="5">
        <v>0.0</v>
      </c>
      <c r="R17" s="5">
        <v>0.0</v>
      </c>
      <c r="S17" s="2"/>
      <c r="T17" s="2"/>
      <c r="U17" s="2"/>
      <c r="V17" s="2"/>
      <c r="W17" s="2"/>
      <c r="X17" s="2"/>
      <c r="Y17" s="2"/>
      <c r="Z17" s="2"/>
    </row>
    <row r="18" ht="13.5" customHeight="1">
      <c r="A18" s="2" t="s">
        <v>17</v>
      </c>
      <c r="B18" s="4">
        <v>1294.0</v>
      </c>
      <c r="C18" s="4">
        <v>2476.0</v>
      </c>
      <c r="D18" s="4">
        <v>2651.0</v>
      </c>
      <c r="E18" s="2"/>
      <c r="F18" s="5">
        <f t="shared" ref="F18:H18" si="21">B18/B$32</f>
        <v>0.02082696239</v>
      </c>
      <c r="G18" s="5">
        <f t="shared" si="21"/>
        <v>0.03007117006</v>
      </c>
      <c r="H18" s="5">
        <f t="shared" si="21"/>
        <v>0.02486446941</v>
      </c>
      <c r="I18" s="2"/>
      <c r="J18" s="2"/>
      <c r="K18" s="2" t="s">
        <v>17</v>
      </c>
      <c r="L18" s="4">
        <v>14111.0</v>
      </c>
      <c r="M18" s="4">
        <v>21223.0</v>
      </c>
      <c r="N18" s="4">
        <v>14695.0</v>
      </c>
      <c r="O18" s="2"/>
      <c r="P18" s="5">
        <f t="shared" ref="P18:R18" si="22">L18/L$32</f>
        <v>0.04020205013</v>
      </c>
      <c r="Q18" s="5">
        <f t="shared" si="22"/>
        <v>0.06016356962</v>
      </c>
      <c r="R18" s="5">
        <f t="shared" si="22"/>
        <v>0.04167812969</v>
      </c>
      <c r="S18" s="2"/>
      <c r="T18" s="2"/>
      <c r="U18" s="2"/>
      <c r="V18" s="2"/>
      <c r="W18" s="2"/>
      <c r="X18" s="2"/>
      <c r="Y18" s="2"/>
      <c r="Z18" s="2"/>
    </row>
    <row r="19" ht="13.5" customHeight="1">
      <c r="A19" s="2" t="s">
        <v>18</v>
      </c>
      <c r="B19" s="2" t="s">
        <v>13</v>
      </c>
      <c r="C19" s="2" t="s">
        <v>13</v>
      </c>
      <c r="D19" s="2" t="s">
        <v>13</v>
      </c>
      <c r="E19" s="2"/>
      <c r="F19" s="5">
        <v>0.0</v>
      </c>
      <c r="G19" s="5">
        <v>0.0</v>
      </c>
      <c r="H19" s="5">
        <f>0</f>
        <v>0</v>
      </c>
      <c r="I19" s="2"/>
      <c r="J19" s="2"/>
      <c r="K19" s="2" t="s">
        <v>18</v>
      </c>
      <c r="L19" s="4">
        <v>0.0</v>
      </c>
      <c r="M19" s="4">
        <v>0.0</v>
      </c>
      <c r="N19" s="4">
        <v>0.0</v>
      </c>
      <c r="O19" s="2"/>
      <c r="P19" s="5">
        <f t="shared" ref="P19:R19" si="23">L19/L$32</f>
        <v>0</v>
      </c>
      <c r="Q19" s="5">
        <f t="shared" si="23"/>
        <v>0</v>
      </c>
      <c r="R19" s="5">
        <f t="shared" si="23"/>
        <v>0</v>
      </c>
      <c r="S19" s="2"/>
      <c r="T19" s="2"/>
      <c r="U19" s="2"/>
      <c r="V19" s="2"/>
      <c r="W19" s="2"/>
      <c r="X19" s="2"/>
      <c r="Y19" s="2"/>
      <c r="Z19" s="2"/>
    </row>
    <row r="20" ht="13.5" customHeight="1">
      <c r="A20" s="2" t="s">
        <v>19</v>
      </c>
      <c r="B20" s="4">
        <v>1294.0</v>
      </c>
      <c r="C20" s="4">
        <v>2476.0</v>
      </c>
      <c r="D20" s="4">
        <v>2651.0</v>
      </c>
      <c r="E20" s="2"/>
      <c r="F20" s="5">
        <f t="shared" ref="F20:H20" si="24">B20/B$32</f>
        <v>0.02082696239</v>
      </c>
      <c r="G20" s="5">
        <f t="shared" si="24"/>
        <v>0.03007117006</v>
      </c>
      <c r="H20" s="5">
        <f t="shared" si="24"/>
        <v>0.02486446941</v>
      </c>
      <c r="I20" s="2"/>
      <c r="J20" s="2"/>
      <c r="K20" s="2" t="s">
        <v>19</v>
      </c>
      <c r="L20" s="4">
        <v>14111.0</v>
      </c>
      <c r="M20" s="4">
        <v>21223.0</v>
      </c>
      <c r="N20" s="4">
        <v>14695.0</v>
      </c>
      <c r="O20" s="2"/>
      <c r="P20" s="5">
        <f t="shared" ref="P20:R20" si="25">L20/L$32</f>
        <v>0.04020205013</v>
      </c>
      <c r="Q20" s="5">
        <f t="shared" si="25"/>
        <v>0.06016356962</v>
      </c>
      <c r="R20" s="5">
        <f t="shared" si="25"/>
        <v>0.04167812969</v>
      </c>
      <c r="S20" s="2"/>
      <c r="T20" s="2"/>
      <c r="U20" s="2"/>
      <c r="V20" s="2"/>
      <c r="W20" s="2"/>
      <c r="X20" s="2"/>
      <c r="Y20" s="2"/>
      <c r="Z20" s="2"/>
    </row>
    <row r="21" ht="13.5" customHeight="1">
      <c r="A21" s="1" t="s">
        <v>20</v>
      </c>
      <c r="B21" s="7">
        <v>27100.0</v>
      </c>
      <c r="C21" s="7">
        <v>40917.0</v>
      </c>
      <c r="D21" s="7">
        <v>49616.0</v>
      </c>
      <c r="E21" s="1"/>
      <c r="F21" s="8">
        <f t="shared" ref="F21:H21" si="26">B21/B$32</f>
        <v>0.4361751783</v>
      </c>
      <c r="G21" s="8">
        <f t="shared" si="26"/>
        <v>0.4969394447</v>
      </c>
      <c r="H21" s="5">
        <f t="shared" si="26"/>
        <v>0.4653623216</v>
      </c>
      <c r="I21" s="1"/>
      <c r="J21" s="1"/>
      <c r="K21" s="1" t="s">
        <v>20</v>
      </c>
      <c r="L21" s="7">
        <v>134836.0</v>
      </c>
      <c r="M21" s="7">
        <v>135405.0</v>
      </c>
      <c r="N21" s="7">
        <v>143566.0</v>
      </c>
      <c r="O21" s="1"/>
      <c r="P21" s="5">
        <f t="shared" ref="P21:R21" si="27">L21/L$32</f>
        <v>0.3841459593</v>
      </c>
      <c r="Q21" s="5">
        <f t="shared" si="27"/>
        <v>0.3838499809</v>
      </c>
      <c r="R21" s="5">
        <f t="shared" si="27"/>
        <v>0.4071835568</v>
      </c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7"/>
      <c r="C22" s="7"/>
      <c r="D22" s="7"/>
      <c r="E22" s="1"/>
      <c r="F22" s="8"/>
      <c r="G22" s="8"/>
      <c r="H22" s="8"/>
      <c r="I22" s="1"/>
      <c r="J22" s="1"/>
      <c r="K22" s="1"/>
      <c r="L22" s="7"/>
      <c r="M22" s="7"/>
      <c r="N22" s="7"/>
      <c r="O22" s="1"/>
      <c r="P22" s="5"/>
      <c r="Q22" s="5">
        <f t="shared" ref="Q22:R22" si="28">M22/M$32</f>
        <v>0</v>
      </c>
      <c r="R22" s="5">
        <f t="shared" si="28"/>
        <v>0</v>
      </c>
      <c r="S22" s="1"/>
      <c r="T22" s="1"/>
      <c r="U22" s="1"/>
      <c r="V22" s="1"/>
      <c r="W22" s="1"/>
      <c r="X22" s="1"/>
      <c r="Y22" s="1"/>
      <c r="Z22" s="1"/>
    </row>
    <row r="23" ht="13.5" customHeight="1">
      <c r="A23" s="2" t="s">
        <v>21</v>
      </c>
      <c r="B23" s="4">
        <v>31176.0</v>
      </c>
      <c r="C23" s="4">
        <v>36635.0</v>
      </c>
      <c r="D23" s="4">
        <v>45123.0</v>
      </c>
      <c r="E23" s="2"/>
      <c r="F23" s="5">
        <f t="shared" ref="F23:H23" si="29">B23/B$32</f>
        <v>0.5017785003</v>
      </c>
      <c r="G23" s="5">
        <f t="shared" si="29"/>
        <v>0.4449342952</v>
      </c>
      <c r="H23" s="5">
        <f t="shared" si="29"/>
        <v>0.4232212197</v>
      </c>
      <c r="I23" s="2"/>
      <c r="J23" s="2"/>
      <c r="K23" s="2" t="s">
        <v>21</v>
      </c>
      <c r="L23" s="4">
        <v>49527.0</v>
      </c>
      <c r="M23" s="4">
        <v>52534.0</v>
      </c>
      <c r="N23" s="4">
        <v>54376.0</v>
      </c>
      <c r="O23" s="2"/>
      <c r="P23" s="5">
        <f t="shared" ref="P23:R23" si="30">L23/L$32</f>
        <v>0.1411017601</v>
      </c>
      <c r="Q23" s="5">
        <f t="shared" si="30"/>
        <v>0.1489248912</v>
      </c>
      <c r="R23" s="5">
        <f t="shared" si="30"/>
        <v>0.1542218428</v>
      </c>
      <c r="S23" s="2"/>
      <c r="T23" s="2"/>
      <c r="U23" s="2"/>
      <c r="V23" s="2"/>
      <c r="W23" s="2"/>
      <c r="X23" s="2"/>
      <c r="Y23" s="2"/>
      <c r="Z23" s="2"/>
    </row>
    <row r="24" ht="13.5" customHeight="1">
      <c r="A24" s="2" t="s">
        <v>22</v>
      </c>
      <c r="B24" s="4">
        <v>39867.0</v>
      </c>
      <c r="C24" s="4">
        <v>48134.0</v>
      </c>
      <c r="D24" s="4">
        <v>60203.0</v>
      </c>
      <c r="E24" s="2"/>
      <c r="F24" s="5">
        <f t="shared" ref="F24:H24" si="31">B24/B$32</f>
        <v>0.6416603628</v>
      </c>
      <c r="G24" s="5">
        <f t="shared" si="31"/>
        <v>0.5845903471</v>
      </c>
      <c r="H24" s="5">
        <f t="shared" si="31"/>
        <v>0.5646607515</v>
      </c>
      <c r="I24" s="2"/>
      <c r="J24" s="2"/>
      <c r="K24" s="2" t="s">
        <v>22</v>
      </c>
      <c r="L24" s="4">
        <v>119810.0</v>
      </c>
      <c r="M24" s="4">
        <v>124874.0</v>
      </c>
      <c r="N24" s="4">
        <v>125260.0</v>
      </c>
      <c r="O24" s="2"/>
      <c r="P24" s="5">
        <f t="shared" ref="P24:R24" si="32">L24/L$32</f>
        <v>0.3413370864</v>
      </c>
      <c r="Q24" s="5">
        <f t="shared" si="32"/>
        <v>0.3539963998</v>
      </c>
      <c r="R24" s="5">
        <f t="shared" si="32"/>
        <v>0.3552638669</v>
      </c>
      <c r="S24" s="2"/>
      <c r="T24" s="2"/>
      <c r="U24" s="2"/>
      <c r="V24" s="2"/>
      <c r="W24" s="2"/>
      <c r="X24" s="2"/>
      <c r="Y24" s="2"/>
      <c r="Z24" s="2"/>
    </row>
    <row r="25" ht="13.5" customHeight="1">
      <c r="A25" s="2" t="s">
        <v>23</v>
      </c>
      <c r="B25" s="4">
        <v>8691.0</v>
      </c>
      <c r="C25" s="4">
        <v>11499.0</v>
      </c>
      <c r="D25" s="4">
        <v>15080.0</v>
      </c>
      <c r="E25" s="2"/>
      <c r="F25" s="5">
        <f t="shared" ref="F25:H25" si="33">B25/B$32</f>
        <v>0.1398818625</v>
      </c>
      <c r="G25" s="5">
        <f t="shared" si="33"/>
        <v>0.1396560519</v>
      </c>
      <c r="H25" s="5">
        <f t="shared" si="33"/>
        <v>0.1414395318</v>
      </c>
      <c r="I25" s="2"/>
      <c r="J25" s="2"/>
      <c r="K25" s="2" t="s">
        <v>23</v>
      </c>
      <c r="L25" s="4">
        <v>70283.0</v>
      </c>
      <c r="M25" s="4">
        <v>72340.0</v>
      </c>
      <c r="N25" s="4">
        <v>70884.0</v>
      </c>
      <c r="O25" s="2"/>
      <c r="P25" s="5">
        <f t="shared" ref="P25:R25" si="34">L25/L$32</f>
        <v>0.2002353263</v>
      </c>
      <c r="Q25" s="5">
        <f t="shared" si="34"/>
        <v>0.2050715086</v>
      </c>
      <c r="R25" s="5">
        <f t="shared" si="34"/>
        <v>0.2010420241</v>
      </c>
      <c r="S25" s="2"/>
      <c r="T25" s="2"/>
      <c r="U25" s="2"/>
      <c r="V25" s="2"/>
      <c r="W25" s="2"/>
      <c r="X25" s="2"/>
      <c r="Y25" s="2"/>
      <c r="Z25" s="2"/>
    </row>
    <row r="26" ht="13.5" customHeight="1">
      <c r="A26" s="2" t="s">
        <v>24</v>
      </c>
      <c r="B26" s="4">
        <v>0.0</v>
      </c>
      <c r="C26" s="4">
        <v>0.0</v>
      </c>
      <c r="D26" s="4">
        <v>0.0</v>
      </c>
      <c r="E26" s="2"/>
      <c r="F26" s="5">
        <f t="shared" ref="F26:H26" si="35">B26/B$32</f>
        <v>0</v>
      </c>
      <c r="G26" s="5">
        <f t="shared" si="35"/>
        <v>0</v>
      </c>
      <c r="H26" s="5">
        <f t="shared" si="35"/>
        <v>0</v>
      </c>
      <c r="I26" s="2"/>
      <c r="J26" s="2"/>
      <c r="K26" s="2" t="s">
        <v>24</v>
      </c>
      <c r="L26" s="4">
        <v>0.0</v>
      </c>
      <c r="M26" s="4">
        <v>0.0</v>
      </c>
      <c r="N26" s="4">
        <v>0.0</v>
      </c>
      <c r="O26" s="2"/>
      <c r="P26" s="5">
        <f t="shared" ref="P26:R26" si="36">L26/L$32</f>
        <v>0</v>
      </c>
      <c r="Q26" s="5">
        <f t="shared" si="36"/>
        <v>0</v>
      </c>
      <c r="R26" s="5">
        <f t="shared" si="36"/>
        <v>0</v>
      </c>
      <c r="S26" s="2"/>
      <c r="T26" s="2"/>
      <c r="U26" s="2"/>
      <c r="V26" s="2"/>
      <c r="W26" s="2"/>
      <c r="X26" s="2"/>
      <c r="Y26" s="2"/>
      <c r="Z26" s="2"/>
    </row>
    <row r="27" ht="13.5" customHeight="1">
      <c r="A27" s="2" t="s">
        <v>25</v>
      </c>
      <c r="B27" s="4">
        <v>1218.0</v>
      </c>
      <c r="C27" s="4">
        <v>2652.0</v>
      </c>
      <c r="D27" s="4">
        <v>2593.0</v>
      </c>
      <c r="E27" s="2"/>
      <c r="F27" s="5">
        <f t="shared" ref="F27:H27" si="37">B27/B$32</f>
        <v>0.01960374048</v>
      </c>
      <c r="G27" s="5">
        <f t="shared" si="37"/>
        <v>0.03220870072</v>
      </c>
      <c r="H27" s="5">
        <f t="shared" si="37"/>
        <v>0.02432047121</v>
      </c>
      <c r="I27" s="2"/>
      <c r="J27" s="2"/>
      <c r="K27" s="2" t="s">
        <v>25</v>
      </c>
      <c r="L27" s="4">
        <v>127877.0</v>
      </c>
      <c r="M27" s="4">
        <v>120805.0</v>
      </c>
      <c r="N27" s="4">
        <v>100544.0</v>
      </c>
      <c r="O27" s="2"/>
      <c r="P27" s="5">
        <f t="shared" ref="P27:R27" si="38">L27/L$32</f>
        <v>0.3643198614</v>
      </c>
      <c r="Q27" s="5">
        <f t="shared" si="38"/>
        <v>0.3424614818</v>
      </c>
      <c r="R27" s="5">
        <f t="shared" si="38"/>
        <v>0.2851640607</v>
      </c>
      <c r="S27" s="2"/>
      <c r="T27" s="2"/>
      <c r="U27" s="2"/>
      <c r="V27" s="2"/>
      <c r="W27" s="2"/>
      <c r="X27" s="2"/>
      <c r="Y27" s="2"/>
      <c r="Z27" s="2"/>
    </row>
    <row r="28" ht="13.5" customHeight="1">
      <c r="A28" s="2" t="s">
        <v>26</v>
      </c>
      <c r="B28" s="4">
        <v>1717.0</v>
      </c>
      <c r="C28" s="4">
        <v>593.0</v>
      </c>
      <c r="D28" s="4">
        <v>615.0</v>
      </c>
      <c r="E28" s="2"/>
      <c r="F28" s="5">
        <f t="shared" ref="F28:H28" si="39">B28/B$32</f>
        <v>0.02763515797</v>
      </c>
      <c r="G28" s="5">
        <f t="shared" si="39"/>
        <v>0.007202020938</v>
      </c>
      <c r="H28" s="5">
        <f t="shared" si="39"/>
        <v>0.005768256767</v>
      </c>
      <c r="I28" s="2"/>
      <c r="J28" s="2"/>
      <c r="K28" s="2" t="s">
        <v>26</v>
      </c>
      <c r="L28" s="2" t="s">
        <v>13</v>
      </c>
      <c r="M28" s="2" t="s">
        <v>13</v>
      </c>
      <c r="N28" s="2" t="s">
        <v>13</v>
      </c>
      <c r="O28" s="2"/>
      <c r="P28" s="5">
        <v>0.0</v>
      </c>
      <c r="Q28" s="5">
        <v>0.0</v>
      </c>
      <c r="R28" s="5">
        <f>0</f>
        <v>0</v>
      </c>
      <c r="S28" s="2"/>
      <c r="T28" s="2"/>
      <c r="U28" s="2"/>
      <c r="V28" s="2"/>
      <c r="W28" s="2"/>
      <c r="X28" s="2"/>
      <c r="Y28" s="2"/>
      <c r="Z28" s="2"/>
    </row>
    <row r="29" ht="13.5" customHeight="1">
      <c r="A29" s="2" t="s">
        <v>27</v>
      </c>
      <c r="B29" s="4">
        <v>920.0</v>
      </c>
      <c r="C29" s="4">
        <v>1541.0</v>
      </c>
      <c r="D29" s="4">
        <v>8671.0</v>
      </c>
      <c r="E29" s="2"/>
      <c r="F29" s="5">
        <f t="shared" ref="F29:H29" si="40">B29/B$32</f>
        <v>0.01480742303</v>
      </c>
      <c r="G29" s="5">
        <f t="shared" si="40"/>
        <v>0.01871553839</v>
      </c>
      <c r="H29" s="5">
        <f t="shared" si="40"/>
        <v>0.08132773078</v>
      </c>
      <c r="I29" s="2"/>
      <c r="J29" s="2"/>
      <c r="K29" s="2" t="s">
        <v>27</v>
      </c>
      <c r="L29" s="4">
        <v>38762.0</v>
      </c>
      <c r="M29" s="4">
        <v>44011.0</v>
      </c>
      <c r="N29" s="4">
        <v>54097.0</v>
      </c>
      <c r="O29" s="2"/>
      <c r="P29" s="5">
        <f t="shared" ref="P29:R29" si="41">L29/L$32</f>
        <v>0.1104324192</v>
      </c>
      <c r="Q29" s="5">
        <f t="shared" si="41"/>
        <v>0.1247636462</v>
      </c>
      <c r="R29" s="5">
        <f t="shared" si="41"/>
        <v>0.1534305398</v>
      </c>
      <c r="S29" s="2"/>
      <c r="T29" s="2"/>
      <c r="U29" s="2"/>
      <c r="V29" s="2"/>
      <c r="W29" s="2"/>
      <c r="X29" s="2"/>
      <c r="Y29" s="2"/>
      <c r="Z29" s="2"/>
    </row>
    <row r="30" ht="13.5" customHeight="1">
      <c r="A30" s="2" t="s">
        <v>28</v>
      </c>
      <c r="B30" s="4">
        <v>0.0</v>
      </c>
      <c r="C30" s="4">
        <v>0.0</v>
      </c>
      <c r="D30" s="4">
        <v>0.0</v>
      </c>
      <c r="E30" s="2"/>
      <c r="F30" s="5">
        <f t="shared" ref="F30:H30" si="42">B30/B$32</f>
        <v>0</v>
      </c>
      <c r="G30" s="5">
        <f t="shared" si="42"/>
        <v>0</v>
      </c>
      <c r="H30" s="5">
        <f t="shared" si="42"/>
        <v>0</v>
      </c>
      <c r="I30" s="2"/>
      <c r="J30" s="2"/>
      <c r="K30" s="2" t="s">
        <v>28</v>
      </c>
      <c r="L30" s="2" t="s">
        <v>13</v>
      </c>
      <c r="M30" s="2" t="s">
        <v>13</v>
      </c>
      <c r="N30" s="2" t="s">
        <v>13</v>
      </c>
      <c r="O30" s="2"/>
      <c r="P30" s="5">
        <v>0.0</v>
      </c>
      <c r="Q30" s="5">
        <v>0.0</v>
      </c>
      <c r="R30" s="5">
        <f>0</f>
        <v>0</v>
      </c>
      <c r="S30" s="2"/>
      <c r="T30" s="2"/>
      <c r="U30" s="2"/>
      <c r="V30" s="2"/>
      <c r="W30" s="2"/>
      <c r="X30" s="2"/>
      <c r="Y30" s="2"/>
      <c r="Z30" s="2"/>
    </row>
    <row r="31" ht="13.5" customHeight="1">
      <c r="A31" s="2" t="s">
        <v>29</v>
      </c>
      <c r="B31" s="4">
        <v>920.0</v>
      </c>
      <c r="C31" s="4">
        <v>1541.0</v>
      </c>
      <c r="D31" s="4">
        <v>8671.0</v>
      </c>
      <c r="E31" s="2"/>
      <c r="F31" s="5">
        <f t="shared" ref="F31:H31" si="43">B31/B$32</f>
        <v>0.01480742303</v>
      </c>
      <c r="G31" s="5">
        <f t="shared" si="43"/>
        <v>0.01871553839</v>
      </c>
      <c r="H31" s="5">
        <f t="shared" si="43"/>
        <v>0.08132773078</v>
      </c>
      <c r="I31" s="2"/>
      <c r="J31" s="2"/>
      <c r="K31" s="2" t="s">
        <v>29</v>
      </c>
      <c r="L31" s="4">
        <v>38762.0</v>
      </c>
      <c r="M31" s="4">
        <v>44011.0</v>
      </c>
      <c r="N31" s="4">
        <v>54097.0</v>
      </c>
      <c r="O31" s="2"/>
      <c r="P31" s="5">
        <f t="shared" ref="P31:R31" si="44">L31/L$32</f>
        <v>0.1104324192</v>
      </c>
      <c r="Q31" s="5">
        <f t="shared" si="44"/>
        <v>0.1247636462</v>
      </c>
      <c r="R31" s="5">
        <f t="shared" si="44"/>
        <v>0.1534305398</v>
      </c>
      <c r="S31" s="2"/>
      <c r="T31" s="2"/>
      <c r="U31" s="2"/>
      <c r="V31" s="2"/>
      <c r="W31" s="2"/>
      <c r="X31" s="2"/>
      <c r="Y31" s="2"/>
      <c r="Z31" s="2"/>
    </row>
    <row r="32" ht="13.5" customHeight="1">
      <c r="A32" s="9" t="s">
        <v>30</v>
      </c>
      <c r="B32" s="10">
        <v>62131.0</v>
      </c>
      <c r="C32" s="10">
        <v>82338.0</v>
      </c>
      <c r="D32" s="10">
        <v>106618.0</v>
      </c>
      <c r="E32" s="9"/>
      <c r="F32" s="11">
        <f t="shared" ref="F32:H32" si="45">B32/B$32</f>
        <v>1</v>
      </c>
      <c r="G32" s="11">
        <f t="shared" si="45"/>
        <v>1</v>
      </c>
      <c r="H32" s="12">
        <f t="shared" si="45"/>
        <v>1</v>
      </c>
      <c r="I32" s="9"/>
      <c r="J32" s="9"/>
      <c r="K32" s="9" t="s">
        <v>30</v>
      </c>
      <c r="L32" s="10">
        <v>351002.0</v>
      </c>
      <c r="M32" s="10">
        <v>352755.0</v>
      </c>
      <c r="N32" s="10">
        <v>352583.0</v>
      </c>
      <c r="O32" s="9"/>
      <c r="P32" s="11">
        <f t="shared" ref="P32:R32" si="46">L32/L$32</f>
        <v>1</v>
      </c>
      <c r="Q32" s="11">
        <f t="shared" si="46"/>
        <v>1</v>
      </c>
      <c r="R32" s="12">
        <f t="shared" si="46"/>
        <v>1</v>
      </c>
      <c r="S32" s="1"/>
      <c r="T32" s="1"/>
      <c r="U32" s="1"/>
      <c r="V32" s="1"/>
      <c r="W32" s="1"/>
      <c r="X32" s="1"/>
      <c r="Y32" s="1"/>
      <c r="Z32" s="1"/>
    </row>
    <row r="33" ht="13.5" customHeight="1">
      <c r="A33" s="2"/>
      <c r="B33" s="4"/>
      <c r="C33" s="4"/>
      <c r="D33" s="4"/>
      <c r="E33" s="2"/>
      <c r="F33" s="2"/>
      <c r="G33" s="2"/>
      <c r="H33" s="2"/>
      <c r="I33" s="2"/>
      <c r="J33" s="2"/>
      <c r="K33" s="2"/>
      <c r="L33" s="4"/>
      <c r="M33" s="4"/>
      <c r="N33" s="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1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1" t="s">
        <v>31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 t="s">
        <v>32</v>
      </c>
      <c r="B35" s="4">
        <v>1957.0</v>
      </c>
      <c r="C35" s="4">
        <v>1987.0</v>
      </c>
      <c r="D35" s="4">
        <v>3045.0</v>
      </c>
      <c r="E35" s="2"/>
      <c r="F35" s="5">
        <f t="shared" ref="F35:G35" si="47">B35/B$32</f>
        <v>0.03149796398</v>
      </c>
      <c r="G35" s="5">
        <f t="shared" si="47"/>
        <v>0.02413223542</v>
      </c>
      <c r="H35" s="5">
        <f t="shared" ref="H35:H59" si="50">D35/$D$32</f>
        <v>0.02855990546</v>
      </c>
      <c r="I35" s="2"/>
      <c r="J35" s="2"/>
      <c r="K35" s="2" t="s">
        <v>32</v>
      </c>
      <c r="L35" s="4">
        <v>17141.0</v>
      </c>
      <c r="M35" s="4">
        <v>22773.0</v>
      </c>
      <c r="N35" s="4">
        <v>17382.0</v>
      </c>
      <c r="O35" s="2"/>
      <c r="P35" s="5">
        <f t="shared" ref="P35:R35" si="48">L35/L$32</f>
        <v>0.04883447958</v>
      </c>
      <c r="Q35" s="5">
        <f t="shared" si="48"/>
        <v>0.06455755411</v>
      </c>
      <c r="R35" s="5">
        <f t="shared" si="48"/>
        <v>0.0492990303</v>
      </c>
      <c r="S35" s="2"/>
      <c r="T35" s="2"/>
      <c r="U35" s="2"/>
      <c r="V35" s="2"/>
      <c r="W35" s="2"/>
      <c r="X35" s="2"/>
      <c r="Y35" s="2"/>
      <c r="Z35" s="2"/>
    </row>
    <row r="36" ht="13.5" customHeight="1">
      <c r="A36" s="2" t="s">
        <v>33</v>
      </c>
      <c r="B36" s="4">
        <v>0.0</v>
      </c>
      <c r="C36" s="4">
        <v>0.0</v>
      </c>
      <c r="D36" s="4">
        <v>0.0</v>
      </c>
      <c r="E36" s="2"/>
      <c r="F36" s="5">
        <f t="shared" ref="F36:G36" si="49">B36/B$32</f>
        <v>0</v>
      </c>
      <c r="G36" s="5">
        <f t="shared" si="49"/>
        <v>0</v>
      </c>
      <c r="H36" s="5">
        <f t="shared" si="50"/>
        <v>0</v>
      </c>
      <c r="I36" s="2"/>
      <c r="J36" s="2"/>
      <c r="K36" s="2" t="s">
        <v>33</v>
      </c>
      <c r="L36" s="4">
        <v>6000.0</v>
      </c>
      <c r="M36" s="4">
        <v>9982.0</v>
      </c>
      <c r="N36" s="4">
        <v>5985.0</v>
      </c>
      <c r="O36" s="2"/>
      <c r="P36" s="5">
        <f t="shared" ref="P36:R36" si="51">L36/L$32</f>
        <v>0.01709391969</v>
      </c>
      <c r="Q36" s="5">
        <f t="shared" si="51"/>
        <v>0.02829726014</v>
      </c>
      <c r="R36" s="5">
        <f t="shared" si="51"/>
        <v>0.01697472652</v>
      </c>
      <c r="S36" s="2"/>
      <c r="T36" s="2"/>
      <c r="U36" s="2"/>
      <c r="V36" s="2"/>
      <c r="W36" s="2"/>
      <c r="X36" s="2"/>
      <c r="Y36" s="2"/>
      <c r="Z36" s="2"/>
    </row>
    <row r="37" ht="13.5" customHeight="1">
      <c r="A37" s="2" t="s">
        <v>34</v>
      </c>
      <c r="B37" s="4">
        <v>1957.0</v>
      </c>
      <c r="C37" s="4">
        <v>1987.0</v>
      </c>
      <c r="D37" s="4">
        <v>3045.0</v>
      </c>
      <c r="E37" s="2"/>
      <c r="F37" s="5">
        <f t="shared" ref="F37:G37" si="52">B37/B$32</f>
        <v>0.03149796398</v>
      </c>
      <c r="G37" s="5">
        <f t="shared" si="52"/>
        <v>0.02413223542</v>
      </c>
      <c r="H37" s="5">
        <f t="shared" si="50"/>
        <v>0.02855990546</v>
      </c>
      <c r="I37" s="2"/>
      <c r="J37" s="2"/>
      <c r="K37" s="2" t="s">
        <v>34</v>
      </c>
      <c r="L37" s="4">
        <v>11141.0</v>
      </c>
      <c r="M37" s="4">
        <v>12791.0</v>
      </c>
      <c r="N37" s="4">
        <v>11397.0</v>
      </c>
      <c r="O37" s="2"/>
      <c r="P37" s="5">
        <f t="shared" ref="P37:R37" si="53">L37/L$32</f>
        <v>0.03174055988</v>
      </c>
      <c r="Q37" s="5">
        <f t="shared" si="53"/>
        <v>0.03626029397</v>
      </c>
      <c r="R37" s="5">
        <f t="shared" si="53"/>
        <v>0.03232430378</v>
      </c>
      <c r="S37" s="2"/>
      <c r="T37" s="2"/>
      <c r="U37" s="2"/>
      <c r="V37" s="2"/>
      <c r="W37" s="2"/>
      <c r="X37" s="2"/>
      <c r="Y37" s="2"/>
      <c r="Z37" s="2"/>
    </row>
    <row r="38" ht="13.5" customHeight="1">
      <c r="A38" s="2" t="s">
        <v>35</v>
      </c>
      <c r="B38" s="4">
        <v>10025.0</v>
      </c>
      <c r="C38" s="4">
        <v>15255.0</v>
      </c>
      <c r="D38" s="4">
        <v>14431.0</v>
      </c>
      <c r="E38" s="2"/>
      <c r="F38" s="5">
        <f t="shared" ref="F38:G38" si="54">B38/B$32</f>
        <v>0.1613526259</v>
      </c>
      <c r="G38" s="5">
        <f t="shared" si="54"/>
        <v>0.1852728995</v>
      </c>
      <c r="H38" s="5">
        <f t="shared" si="50"/>
        <v>0.1353523795</v>
      </c>
      <c r="I38" s="2"/>
      <c r="J38" s="2"/>
      <c r="K38" s="2" t="s">
        <v>35</v>
      </c>
      <c r="L38" s="4">
        <v>54763.0</v>
      </c>
      <c r="M38" s="4">
        <v>64115.0</v>
      </c>
      <c r="N38" s="4">
        <v>62611.0</v>
      </c>
      <c r="O38" s="2"/>
      <c r="P38" s="5">
        <f t="shared" ref="P38:R38" si="55">L38/L$32</f>
        <v>0.156019054</v>
      </c>
      <c r="Q38" s="5">
        <f t="shared" si="55"/>
        <v>0.1817550425</v>
      </c>
      <c r="R38" s="5">
        <f t="shared" si="55"/>
        <v>0.1775780455</v>
      </c>
      <c r="S38" s="2"/>
      <c r="T38" s="2"/>
      <c r="U38" s="2"/>
      <c r="V38" s="2"/>
      <c r="W38" s="2"/>
      <c r="X38" s="2"/>
      <c r="Y38" s="2"/>
      <c r="Z38" s="2"/>
    </row>
    <row r="39" ht="13.5" customHeight="1">
      <c r="A39" s="2" t="s">
        <v>36</v>
      </c>
      <c r="B39" s="4">
        <v>1122.0</v>
      </c>
      <c r="C39" s="4">
        <v>1235.0</v>
      </c>
      <c r="D39" s="4">
        <v>1204.0</v>
      </c>
      <c r="E39" s="2"/>
      <c r="F39" s="5">
        <f t="shared" ref="F39:G39" si="56">B39/B$32</f>
        <v>0.01805861808</v>
      </c>
      <c r="G39" s="5">
        <f t="shared" si="56"/>
        <v>0.01499914985</v>
      </c>
      <c r="H39" s="5">
        <f t="shared" si="50"/>
        <v>0.01129265227</v>
      </c>
      <c r="I39" s="2"/>
      <c r="J39" s="2"/>
      <c r="K39" s="2" t="s">
        <v>36</v>
      </c>
      <c r="L39" s="2" t="s">
        <v>13</v>
      </c>
      <c r="M39" s="2" t="s">
        <v>13</v>
      </c>
      <c r="N39" s="4">
        <v>8819.0</v>
      </c>
      <c r="O39" s="2"/>
      <c r="P39" s="5">
        <v>0.0</v>
      </c>
      <c r="Q39" s="5">
        <v>0.0</v>
      </c>
      <c r="R39" s="5">
        <v>0.0</v>
      </c>
      <c r="S39" s="2"/>
      <c r="T39" s="2"/>
      <c r="U39" s="2"/>
      <c r="V39" s="2"/>
      <c r="W39" s="2"/>
      <c r="X39" s="2"/>
      <c r="Y39" s="2"/>
      <c r="Z39" s="2"/>
    </row>
    <row r="40" ht="13.5" customHeight="1">
      <c r="A40" s="2" t="s">
        <v>37</v>
      </c>
      <c r="B40" s="4">
        <v>6601.0</v>
      </c>
      <c r="C40" s="4">
        <v>8232.0</v>
      </c>
      <c r="D40" s="4">
        <v>10068.0</v>
      </c>
      <c r="E40" s="2"/>
      <c r="F40" s="5">
        <f t="shared" ref="F40:G40" si="57">B40/B$32</f>
        <v>0.1062432602</v>
      </c>
      <c r="G40" s="5">
        <f t="shared" si="57"/>
        <v>0.09997813889</v>
      </c>
      <c r="H40" s="5">
        <f t="shared" si="50"/>
        <v>0.09443058395</v>
      </c>
      <c r="I40" s="2"/>
      <c r="J40" s="2"/>
      <c r="K40" s="2" t="s">
        <v>37</v>
      </c>
      <c r="L40" s="4">
        <v>53577.0</v>
      </c>
      <c r="M40" s="4">
        <v>67094.0</v>
      </c>
      <c r="N40" s="4">
        <v>56496.0</v>
      </c>
      <c r="O40" s="2"/>
      <c r="P40" s="5">
        <f t="shared" ref="P40:R40" si="58">L40/L$32</f>
        <v>0.1526401559</v>
      </c>
      <c r="Q40" s="5">
        <f t="shared" si="58"/>
        <v>0.1901999972</v>
      </c>
      <c r="R40" s="5">
        <f t="shared" si="58"/>
        <v>0.1602346114</v>
      </c>
      <c r="S40" s="2"/>
      <c r="T40" s="2"/>
      <c r="U40" s="2"/>
      <c r="V40" s="2"/>
      <c r="W40" s="2"/>
      <c r="X40" s="2"/>
      <c r="Y40" s="2"/>
      <c r="Z40" s="2"/>
    </row>
    <row r="41" ht="13.5" customHeight="1">
      <c r="A41" s="2" t="s">
        <v>38</v>
      </c>
      <c r="B41" s="4">
        <v>3935.0</v>
      </c>
      <c r="C41" s="4">
        <v>5068.0</v>
      </c>
      <c r="D41" s="4">
        <v>5811.0</v>
      </c>
      <c r="E41" s="2"/>
      <c r="F41" s="5">
        <f t="shared" ref="F41:G41" si="59">B41/B$32</f>
        <v>0.06333392348</v>
      </c>
      <c r="G41" s="5">
        <f t="shared" si="59"/>
        <v>0.06155116714</v>
      </c>
      <c r="H41" s="5">
        <f t="shared" si="50"/>
        <v>0.05450299199</v>
      </c>
      <c r="I41" s="2"/>
      <c r="J41" s="2"/>
      <c r="K41" s="2" t="s">
        <v>38</v>
      </c>
      <c r="L41" s="2" t="s">
        <v>13</v>
      </c>
      <c r="M41" s="2" t="s">
        <v>13</v>
      </c>
      <c r="N41" s="2" t="s">
        <v>13</v>
      </c>
      <c r="O41" s="2"/>
      <c r="P41" s="5">
        <v>0.0</v>
      </c>
      <c r="Q41" s="5">
        <v>0.0</v>
      </c>
      <c r="R41" s="5">
        <v>0.0</v>
      </c>
      <c r="S41" s="2"/>
      <c r="T41" s="2"/>
      <c r="U41" s="2"/>
      <c r="V41" s="2"/>
      <c r="W41" s="2"/>
      <c r="X41" s="2"/>
      <c r="Y41" s="2"/>
      <c r="Z41" s="2"/>
    </row>
    <row r="42" ht="13.5" customHeight="1">
      <c r="A42" s="2" t="s">
        <v>39</v>
      </c>
      <c r="B42" s="4">
        <v>2666.0</v>
      </c>
      <c r="C42" s="4">
        <v>3164.0</v>
      </c>
      <c r="D42" s="4">
        <v>4257.0</v>
      </c>
      <c r="E42" s="2"/>
      <c r="F42" s="5">
        <f t="shared" ref="F42:G42" si="60">B42/B$32</f>
        <v>0.04290933672</v>
      </c>
      <c r="G42" s="5">
        <f t="shared" si="60"/>
        <v>0.03842697175</v>
      </c>
      <c r="H42" s="5">
        <f t="shared" si="50"/>
        <v>0.03992759196</v>
      </c>
      <c r="I42" s="2"/>
      <c r="J42" s="2"/>
      <c r="K42" s="2" t="s">
        <v>39</v>
      </c>
      <c r="L42" s="4">
        <v>53577.0</v>
      </c>
      <c r="M42" s="4">
        <v>67094.0</v>
      </c>
      <c r="N42" s="4">
        <v>56496.0</v>
      </c>
      <c r="O42" s="2"/>
      <c r="P42" s="5">
        <f t="shared" ref="P42:R42" si="61">L42/L$32</f>
        <v>0.1526401559</v>
      </c>
      <c r="Q42" s="5">
        <f t="shared" si="61"/>
        <v>0.1901999972</v>
      </c>
      <c r="R42" s="5">
        <f t="shared" si="61"/>
        <v>0.1602346114</v>
      </c>
      <c r="S42" s="2"/>
      <c r="T42" s="2"/>
      <c r="U42" s="2"/>
      <c r="V42" s="2"/>
      <c r="W42" s="2"/>
      <c r="X42" s="2"/>
      <c r="Y42" s="2"/>
      <c r="Z42" s="2"/>
    </row>
    <row r="43" ht="13.5" customHeight="1">
      <c r="A43" s="1" t="s">
        <v>40</v>
      </c>
      <c r="B43" s="7">
        <v>19705.0</v>
      </c>
      <c r="C43" s="7">
        <v>26709.0</v>
      </c>
      <c r="D43" s="7">
        <v>28748.0</v>
      </c>
      <c r="E43" s="1"/>
      <c r="F43" s="8">
        <f t="shared" ref="F43:G43" si="62">B43/B$32</f>
        <v>0.3171524682</v>
      </c>
      <c r="G43" s="8">
        <f t="shared" si="62"/>
        <v>0.3243824237</v>
      </c>
      <c r="H43" s="5">
        <f t="shared" si="50"/>
        <v>0.2696355212</v>
      </c>
      <c r="I43" s="1"/>
      <c r="J43" s="1"/>
      <c r="K43" s="1" t="s">
        <v>40</v>
      </c>
      <c r="L43" s="7">
        <v>125481.0</v>
      </c>
      <c r="M43" s="7">
        <v>153982.0</v>
      </c>
      <c r="N43" s="7">
        <v>145308.0</v>
      </c>
      <c r="O43" s="1"/>
      <c r="P43" s="8">
        <f t="shared" ref="P43:R43" si="63">L43/L$32</f>
        <v>0.3574936895</v>
      </c>
      <c r="Q43" s="5">
        <f t="shared" si="63"/>
        <v>0.4365125937</v>
      </c>
      <c r="R43" s="5">
        <f t="shared" si="63"/>
        <v>0.4121242374</v>
      </c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7"/>
      <c r="C44" s="7"/>
      <c r="D44" s="7"/>
      <c r="E44" s="1"/>
      <c r="F44" s="5">
        <f t="shared" ref="F44:G44" si="64">B44/B$32</f>
        <v>0</v>
      </c>
      <c r="G44" s="5">
        <f t="shared" si="64"/>
        <v>0</v>
      </c>
      <c r="H44" s="5">
        <f t="shared" si="50"/>
        <v>0</v>
      </c>
      <c r="I44" s="1"/>
      <c r="J44" s="1"/>
      <c r="K44" s="1"/>
      <c r="L44" s="7"/>
      <c r="M44" s="7"/>
      <c r="N44" s="7"/>
      <c r="O44" s="1"/>
      <c r="P44" s="5">
        <f t="shared" ref="P44:R44" si="65">L44/L$32</f>
        <v>0</v>
      </c>
      <c r="Q44" s="5">
        <f t="shared" si="65"/>
        <v>0</v>
      </c>
      <c r="R44" s="5">
        <f t="shared" si="65"/>
        <v>0</v>
      </c>
      <c r="S44" s="1"/>
      <c r="T44" s="1"/>
      <c r="U44" s="1"/>
      <c r="V44" s="1"/>
      <c r="W44" s="1"/>
      <c r="X44" s="1"/>
      <c r="Y44" s="1"/>
      <c r="Z44" s="1"/>
    </row>
    <row r="45" ht="13.5" customHeight="1">
      <c r="A45" s="2" t="s">
        <v>41</v>
      </c>
      <c r="B45" s="4">
        <v>6916.0</v>
      </c>
      <c r="C45" s="4">
        <v>3761.0</v>
      </c>
      <c r="D45" s="4">
        <v>6528.0</v>
      </c>
      <c r="E45" s="2"/>
      <c r="F45" s="5">
        <f t="shared" ref="F45:G45" si="66">B45/B$32</f>
        <v>0.1113131931</v>
      </c>
      <c r="G45" s="5">
        <f t="shared" si="66"/>
        <v>0.04567757293</v>
      </c>
      <c r="H45" s="5">
        <f t="shared" si="50"/>
        <v>0.06122793525</v>
      </c>
      <c r="I45" s="2"/>
      <c r="J45" s="2"/>
      <c r="K45" s="2" t="s">
        <v>41</v>
      </c>
      <c r="L45" s="4">
        <v>119381.0</v>
      </c>
      <c r="M45" s="4">
        <v>109707.0</v>
      </c>
      <c r="N45" s="4">
        <v>106548.0</v>
      </c>
      <c r="O45" s="2"/>
      <c r="P45" s="5">
        <f t="shared" ref="P45:R45" si="67">L45/L$32</f>
        <v>0.3401148711</v>
      </c>
      <c r="Q45" s="5">
        <f t="shared" si="67"/>
        <v>0.3110005528</v>
      </c>
      <c r="R45" s="5">
        <f t="shared" si="67"/>
        <v>0.3021926752</v>
      </c>
      <c r="S45" s="2"/>
      <c r="T45" s="2"/>
      <c r="U45" s="2"/>
      <c r="V45" s="2"/>
      <c r="W45" s="2"/>
      <c r="X45" s="2"/>
      <c r="Y45" s="2"/>
      <c r="Z45" s="2"/>
    </row>
    <row r="46" ht="13.5" customHeight="1">
      <c r="A46" s="2" t="s">
        <v>42</v>
      </c>
      <c r="B46" s="4">
        <v>0.0</v>
      </c>
      <c r="C46" s="4">
        <v>0.0</v>
      </c>
      <c r="D46" s="4">
        <v>0.0</v>
      </c>
      <c r="E46" s="2"/>
      <c r="F46" s="5">
        <f t="shared" ref="F46:G46" si="68">B46/B$32</f>
        <v>0</v>
      </c>
      <c r="G46" s="5">
        <f t="shared" si="68"/>
        <v>0</v>
      </c>
      <c r="H46" s="5">
        <f t="shared" si="50"/>
        <v>0</v>
      </c>
      <c r="I46" s="2"/>
      <c r="J46" s="2"/>
      <c r="K46" s="2" t="s">
        <v>42</v>
      </c>
      <c r="L46" s="4">
        <v>0.0</v>
      </c>
      <c r="M46" s="4">
        <v>0.0</v>
      </c>
      <c r="N46" s="4">
        <v>0.0</v>
      </c>
      <c r="O46" s="2"/>
      <c r="P46" s="5">
        <f t="shared" ref="P46:R46" si="69">L46/L$32</f>
        <v>0</v>
      </c>
      <c r="Q46" s="5">
        <f t="shared" si="69"/>
        <v>0</v>
      </c>
      <c r="R46" s="5">
        <f t="shared" si="69"/>
        <v>0</v>
      </c>
      <c r="S46" s="2"/>
      <c r="T46" s="2"/>
      <c r="U46" s="2"/>
      <c r="V46" s="2"/>
      <c r="W46" s="2"/>
      <c r="X46" s="2"/>
      <c r="Y46" s="2"/>
      <c r="Z46" s="2"/>
    </row>
    <row r="47" ht="13.5" customHeight="1">
      <c r="A47" s="2" t="s">
        <v>43</v>
      </c>
      <c r="B47" s="4">
        <v>0.0</v>
      </c>
      <c r="C47" s="4">
        <v>0.0</v>
      </c>
      <c r="D47" s="4">
        <v>0.0</v>
      </c>
      <c r="E47" s="2"/>
      <c r="F47" s="5">
        <f t="shared" ref="F47:G47" si="70">B47/B$32</f>
        <v>0</v>
      </c>
      <c r="G47" s="5">
        <f t="shared" si="70"/>
        <v>0</v>
      </c>
      <c r="H47" s="5">
        <f t="shared" si="50"/>
        <v>0</v>
      </c>
      <c r="I47" s="2"/>
      <c r="J47" s="2"/>
      <c r="K47" s="2" t="s">
        <v>43</v>
      </c>
      <c r="L47" s="4">
        <v>0.0</v>
      </c>
      <c r="M47" s="4">
        <v>0.0</v>
      </c>
      <c r="N47" s="4">
        <v>0.0</v>
      </c>
      <c r="O47" s="2"/>
      <c r="P47" s="5">
        <f t="shared" ref="P47:R47" si="71">L47/L$32</f>
        <v>0</v>
      </c>
      <c r="Q47" s="5">
        <f t="shared" si="71"/>
        <v>0</v>
      </c>
      <c r="R47" s="5">
        <f t="shared" si="71"/>
        <v>0</v>
      </c>
      <c r="S47" s="2"/>
      <c r="T47" s="2"/>
      <c r="U47" s="2"/>
      <c r="V47" s="2"/>
      <c r="W47" s="2"/>
      <c r="X47" s="2"/>
      <c r="Y47" s="2"/>
      <c r="Z47" s="2"/>
    </row>
    <row r="48" ht="13.5" customHeight="1">
      <c r="A48" s="2" t="s">
        <v>44</v>
      </c>
      <c r="B48" s="4">
        <v>0.0</v>
      </c>
      <c r="C48" s="4">
        <v>0.0</v>
      </c>
      <c r="D48" s="4">
        <v>0.0</v>
      </c>
      <c r="E48" s="2"/>
      <c r="F48" s="5">
        <f t="shared" ref="F48:G48" si="72">B48/B$32</f>
        <v>0</v>
      </c>
      <c r="G48" s="5">
        <f t="shared" si="72"/>
        <v>0</v>
      </c>
      <c r="H48" s="5">
        <f t="shared" si="50"/>
        <v>0</v>
      </c>
      <c r="I48" s="2"/>
      <c r="J48" s="2"/>
      <c r="K48" s="2" t="s">
        <v>44</v>
      </c>
      <c r="L48" s="4">
        <v>0.0</v>
      </c>
      <c r="M48" s="4">
        <v>0.0</v>
      </c>
      <c r="N48" s="4">
        <v>0.0</v>
      </c>
      <c r="O48" s="2"/>
      <c r="P48" s="5">
        <f t="shared" ref="P48:R48" si="73">L48/L$32</f>
        <v>0</v>
      </c>
      <c r="Q48" s="5">
        <f t="shared" si="73"/>
        <v>0</v>
      </c>
      <c r="R48" s="5">
        <f t="shared" si="73"/>
        <v>0</v>
      </c>
      <c r="S48" s="2"/>
      <c r="T48" s="2"/>
      <c r="U48" s="2"/>
      <c r="V48" s="2"/>
      <c r="W48" s="2"/>
      <c r="X48" s="2"/>
      <c r="Y48" s="2"/>
      <c r="Z48" s="2"/>
    </row>
    <row r="49" ht="13.5" customHeight="1">
      <c r="A49" s="2" t="s">
        <v>45</v>
      </c>
      <c r="B49" s="4">
        <v>0.0</v>
      </c>
      <c r="C49" s="4">
        <v>0.0</v>
      </c>
      <c r="D49" s="4">
        <v>0.0</v>
      </c>
      <c r="E49" s="2"/>
      <c r="F49" s="5">
        <f t="shared" ref="F49:G49" si="74">B49/B$32</f>
        <v>0</v>
      </c>
      <c r="G49" s="5">
        <f t="shared" si="74"/>
        <v>0</v>
      </c>
      <c r="H49" s="5">
        <f t="shared" si="50"/>
        <v>0</v>
      </c>
      <c r="I49" s="2"/>
      <c r="J49" s="2"/>
      <c r="K49" s="2" t="s">
        <v>45</v>
      </c>
      <c r="L49" s="4">
        <v>0.0</v>
      </c>
      <c r="M49" s="4">
        <v>0.0</v>
      </c>
      <c r="N49" s="4">
        <v>0.0</v>
      </c>
      <c r="O49" s="2"/>
      <c r="P49" s="5">
        <f t="shared" ref="P49:R49" si="75">L49/L$32</f>
        <v>0</v>
      </c>
      <c r="Q49" s="5">
        <f t="shared" si="75"/>
        <v>0</v>
      </c>
      <c r="R49" s="5">
        <f t="shared" si="75"/>
        <v>0</v>
      </c>
      <c r="S49" s="2"/>
      <c r="T49" s="2"/>
      <c r="U49" s="2"/>
      <c r="V49" s="2"/>
      <c r="W49" s="2"/>
      <c r="X49" s="2"/>
      <c r="Y49" s="2"/>
      <c r="Z49" s="2"/>
    </row>
    <row r="50" ht="13.5" customHeight="1">
      <c r="A50" s="2" t="s">
        <v>46</v>
      </c>
      <c r="B50" s="4">
        <v>2595.0</v>
      </c>
      <c r="C50" s="4">
        <v>663.0</v>
      </c>
      <c r="D50" s="4">
        <v>2345.0</v>
      </c>
      <c r="E50" s="2"/>
      <c r="F50" s="5">
        <f t="shared" ref="F50:G50" si="76">B50/B$32</f>
        <v>0.04176658995</v>
      </c>
      <c r="G50" s="5">
        <f t="shared" si="76"/>
        <v>0.00805217518</v>
      </c>
      <c r="H50" s="5">
        <f t="shared" si="50"/>
        <v>0.02199440995</v>
      </c>
      <c r="I50" s="2"/>
      <c r="J50" s="2"/>
      <c r="K50" s="2" t="s">
        <v>46</v>
      </c>
      <c r="L50" s="4">
        <v>109106.0</v>
      </c>
      <c r="M50" s="4">
        <v>98959.0</v>
      </c>
      <c r="N50" s="4">
        <v>95281.0</v>
      </c>
      <c r="O50" s="2"/>
      <c r="P50" s="5">
        <f t="shared" ref="P50:R50" si="77">L50/L$32</f>
        <v>0.3108415337</v>
      </c>
      <c r="Q50" s="5">
        <f t="shared" si="77"/>
        <v>0.2805318139</v>
      </c>
      <c r="R50" s="5">
        <f t="shared" si="77"/>
        <v>0.2702370789</v>
      </c>
      <c r="S50" s="2"/>
      <c r="T50" s="2"/>
      <c r="U50" s="2"/>
      <c r="V50" s="2"/>
      <c r="W50" s="2"/>
      <c r="X50" s="2"/>
      <c r="Y50" s="2"/>
      <c r="Z50" s="2"/>
    </row>
    <row r="51" ht="13.5" customHeight="1">
      <c r="A51" s="2" t="s">
        <v>47</v>
      </c>
      <c r="B51" s="4">
        <v>7.0</v>
      </c>
      <c r="C51" s="4">
        <v>7.0</v>
      </c>
      <c r="D51" s="4">
        <v>7.0</v>
      </c>
      <c r="E51" s="2"/>
      <c r="F51" s="5">
        <f t="shared" ref="F51:G51" si="78">B51/B$32</f>
        <v>0.0001126651752</v>
      </c>
      <c r="G51" s="5">
        <f t="shared" si="78"/>
        <v>0.00008501542423</v>
      </c>
      <c r="H51" s="5">
        <f t="shared" si="50"/>
        <v>0.00006565495507</v>
      </c>
      <c r="I51" s="2"/>
      <c r="J51" s="2"/>
      <c r="K51" s="2" t="s">
        <v>47</v>
      </c>
      <c r="L51" s="4">
        <v>0.0</v>
      </c>
      <c r="M51" s="4">
        <v>0.0</v>
      </c>
      <c r="N51" s="4">
        <v>0.0</v>
      </c>
      <c r="O51" s="2"/>
      <c r="P51" s="5">
        <f t="shared" ref="P51:R51" si="79">L51/L$32</f>
        <v>0</v>
      </c>
      <c r="Q51" s="5">
        <f t="shared" si="79"/>
        <v>0</v>
      </c>
      <c r="R51" s="5">
        <f t="shared" si="79"/>
        <v>0</v>
      </c>
      <c r="S51" s="2"/>
      <c r="T51" s="2"/>
      <c r="U51" s="2"/>
      <c r="V51" s="2"/>
      <c r="W51" s="2"/>
      <c r="X51" s="2"/>
      <c r="Y51" s="2"/>
      <c r="Z51" s="2"/>
    </row>
    <row r="52" ht="13.5" customHeight="1">
      <c r="A52" s="2" t="s">
        <v>48</v>
      </c>
      <c r="B52" s="4">
        <v>3323.0</v>
      </c>
      <c r="C52" s="4">
        <v>2523.0</v>
      </c>
      <c r="D52" s="4">
        <v>4001.0</v>
      </c>
      <c r="E52" s="2"/>
      <c r="F52" s="5">
        <f t="shared" ref="F52:G52" si="80">B52/B$32</f>
        <v>0.05348376817</v>
      </c>
      <c r="G52" s="5">
        <f t="shared" si="80"/>
        <v>0.0306419879</v>
      </c>
      <c r="H52" s="5">
        <f t="shared" si="50"/>
        <v>0.03752649646</v>
      </c>
      <c r="I52" s="2"/>
      <c r="J52" s="2"/>
      <c r="K52" s="2" t="s">
        <v>48</v>
      </c>
      <c r="L52" s="4">
        <v>9506.0</v>
      </c>
      <c r="M52" s="4">
        <v>9936.0</v>
      </c>
      <c r="N52" s="4">
        <v>10408.0</v>
      </c>
      <c r="O52" s="2"/>
      <c r="P52" s="5">
        <f t="shared" ref="P52:R52" si="81">L52/L$32</f>
        <v>0.02708246677</v>
      </c>
      <c r="Q52" s="5">
        <f t="shared" si="81"/>
        <v>0.02816685802</v>
      </c>
      <c r="R52" s="5">
        <f t="shared" si="81"/>
        <v>0.02951929049</v>
      </c>
      <c r="S52" s="2"/>
      <c r="T52" s="2"/>
      <c r="U52" s="2"/>
      <c r="V52" s="2"/>
      <c r="W52" s="2"/>
      <c r="X52" s="2"/>
      <c r="Y52" s="2"/>
      <c r="Z52" s="2"/>
    </row>
    <row r="53" ht="13.5" customHeight="1">
      <c r="A53" s="2" t="s">
        <v>49</v>
      </c>
      <c r="B53" s="4">
        <v>991.0</v>
      </c>
      <c r="C53" s="4">
        <v>568.0</v>
      </c>
      <c r="D53" s="4">
        <v>175.0</v>
      </c>
      <c r="E53" s="2"/>
      <c r="F53" s="5">
        <f t="shared" ref="F53:G53" si="82">B53/B$32</f>
        <v>0.0159501698</v>
      </c>
      <c r="G53" s="5">
        <f t="shared" si="82"/>
        <v>0.006898394423</v>
      </c>
      <c r="H53" s="5">
        <f t="shared" si="50"/>
        <v>0.001641373877</v>
      </c>
      <c r="I53" s="2"/>
      <c r="J53" s="2"/>
      <c r="K53" s="2" t="s">
        <v>49</v>
      </c>
      <c r="L53" s="4">
        <v>769.0</v>
      </c>
      <c r="M53" s="4">
        <v>812.0</v>
      </c>
      <c r="N53" s="4">
        <v>859.0</v>
      </c>
      <c r="O53" s="2"/>
      <c r="P53" s="5">
        <f t="shared" ref="P53:R53" si="83">L53/L$32</f>
        <v>0.002190870707</v>
      </c>
      <c r="Q53" s="5">
        <f t="shared" si="83"/>
        <v>0.002301880909</v>
      </c>
      <c r="R53" s="5">
        <f t="shared" si="83"/>
        <v>0.002436305778</v>
      </c>
      <c r="S53" s="2"/>
      <c r="T53" s="2"/>
      <c r="U53" s="2"/>
      <c r="V53" s="2"/>
      <c r="W53" s="2"/>
      <c r="X53" s="2"/>
      <c r="Y53" s="2"/>
      <c r="Z53" s="2"/>
    </row>
    <row r="54" ht="13.5" customHeight="1">
      <c r="A54" s="2" t="s">
        <v>50</v>
      </c>
      <c r="B54" s="4">
        <v>3903.0</v>
      </c>
      <c r="C54" s="4">
        <v>5888.0</v>
      </c>
      <c r="D54" s="4">
        <v>7652.0</v>
      </c>
      <c r="E54" s="2"/>
      <c r="F54" s="5">
        <f t="shared" ref="F54:G54" si="84">B54/B$32</f>
        <v>0.06281888268</v>
      </c>
      <c r="G54" s="5">
        <f t="shared" si="84"/>
        <v>0.07151011684</v>
      </c>
      <c r="H54" s="5">
        <f t="shared" si="50"/>
        <v>0.07177024517</v>
      </c>
      <c r="I54" s="2"/>
      <c r="J54" s="2"/>
      <c r="K54" s="2" t="s">
        <v>50</v>
      </c>
      <c r="L54" s="4">
        <v>43050.0</v>
      </c>
      <c r="M54" s="4">
        <v>38394.0</v>
      </c>
      <c r="N54" s="4">
        <v>38581.0</v>
      </c>
      <c r="O54" s="2"/>
      <c r="P54" s="5">
        <f t="shared" ref="P54:R54" si="85">L54/L$32</f>
        <v>0.1226488738</v>
      </c>
      <c r="Q54" s="5">
        <f t="shared" si="85"/>
        <v>0.1088404133</v>
      </c>
      <c r="R54" s="5">
        <f t="shared" si="85"/>
        <v>0.1094238803</v>
      </c>
      <c r="S54" s="2"/>
      <c r="T54" s="2"/>
      <c r="U54" s="2"/>
      <c r="V54" s="2"/>
      <c r="W54" s="2"/>
      <c r="X54" s="2"/>
      <c r="Y54" s="2"/>
      <c r="Z54" s="2"/>
    </row>
    <row r="55" ht="13.5" customHeight="1">
      <c r="A55" s="2" t="s">
        <v>51</v>
      </c>
      <c r="B55" s="4">
        <v>24.0</v>
      </c>
      <c r="C55" s="4">
        <v>82.0</v>
      </c>
      <c r="D55" s="4">
        <v>81.0</v>
      </c>
      <c r="E55" s="2"/>
      <c r="F55" s="5">
        <f t="shared" ref="F55:G55" si="86">B55/B$32</f>
        <v>0.0003862806007</v>
      </c>
      <c r="G55" s="5">
        <f t="shared" si="86"/>
        <v>0.0009958949695</v>
      </c>
      <c r="H55" s="5">
        <f t="shared" si="50"/>
        <v>0.000759721623</v>
      </c>
      <c r="I55" s="2"/>
      <c r="J55" s="2"/>
      <c r="K55" s="2" t="s">
        <v>51</v>
      </c>
      <c r="L55" s="2" t="s">
        <v>13</v>
      </c>
      <c r="M55" s="2" t="s">
        <v>13</v>
      </c>
      <c r="N55" s="2" t="s">
        <v>13</v>
      </c>
      <c r="O55" s="2"/>
      <c r="P55" s="5">
        <v>0.0</v>
      </c>
      <c r="Q55" s="5">
        <v>0.0</v>
      </c>
      <c r="R55" s="6">
        <f t="shared" ref="R55:R56" si="88">0</f>
        <v>0</v>
      </c>
      <c r="S55" s="2"/>
      <c r="T55" s="2"/>
      <c r="U55" s="2"/>
      <c r="V55" s="2"/>
      <c r="W55" s="2"/>
      <c r="X55" s="2"/>
      <c r="Y55" s="2"/>
      <c r="Z55" s="2"/>
    </row>
    <row r="56" ht="13.5" customHeight="1">
      <c r="A56" s="2" t="s">
        <v>52</v>
      </c>
      <c r="B56" s="4">
        <v>24.0</v>
      </c>
      <c r="C56" s="4">
        <v>82.0</v>
      </c>
      <c r="D56" s="4">
        <v>81.0</v>
      </c>
      <c r="E56" s="2"/>
      <c r="F56" s="5">
        <f t="shared" ref="F56:G56" si="87">B56/B$32</f>
        <v>0.0003862806007</v>
      </c>
      <c r="G56" s="5">
        <f t="shared" si="87"/>
        <v>0.0009958949695</v>
      </c>
      <c r="H56" s="5">
        <f t="shared" si="50"/>
        <v>0.000759721623</v>
      </c>
      <c r="I56" s="2"/>
      <c r="J56" s="2"/>
      <c r="K56" s="2" t="s">
        <v>52</v>
      </c>
      <c r="L56" s="2" t="s">
        <v>13</v>
      </c>
      <c r="M56" s="2" t="s">
        <v>13</v>
      </c>
      <c r="N56" s="2" t="s">
        <v>13</v>
      </c>
      <c r="O56" s="2"/>
      <c r="P56" s="5">
        <v>0.0</v>
      </c>
      <c r="Q56" s="5">
        <v>0.0</v>
      </c>
      <c r="R56" s="5">
        <f t="shared" si="88"/>
        <v>0</v>
      </c>
      <c r="S56" s="2"/>
      <c r="T56" s="2"/>
      <c r="U56" s="2"/>
      <c r="V56" s="2"/>
      <c r="W56" s="2"/>
      <c r="X56" s="2"/>
      <c r="Y56" s="2"/>
      <c r="Z56" s="2"/>
    </row>
    <row r="57" ht="13.5" customHeight="1">
      <c r="A57" s="2" t="s">
        <v>53</v>
      </c>
      <c r="B57" s="4">
        <v>0.0</v>
      </c>
      <c r="C57" s="4">
        <v>0.0</v>
      </c>
      <c r="D57" s="4">
        <v>0.0</v>
      </c>
      <c r="E57" s="2"/>
      <c r="F57" s="5">
        <f t="shared" ref="F57:G57" si="89">B57/B$32</f>
        <v>0</v>
      </c>
      <c r="G57" s="5">
        <f t="shared" si="89"/>
        <v>0</v>
      </c>
      <c r="H57" s="5">
        <f t="shared" si="50"/>
        <v>0</v>
      </c>
      <c r="I57" s="2"/>
      <c r="J57" s="2"/>
      <c r="K57" s="2" t="s">
        <v>53</v>
      </c>
      <c r="L57" s="4">
        <v>0.0</v>
      </c>
      <c r="M57" s="4">
        <v>0.0</v>
      </c>
      <c r="N57" s="4">
        <v>0.0</v>
      </c>
      <c r="O57" s="2"/>
      <c r="P57" s="5">
        <f t="shared" ref="P57:R57" si="90">L57/L$32</f>
        <v>0</v>
      </c>
      <c r="Q57" s="5">
        <f t="shared" si="90"/>
        <v>0</v>
      </c>
      <c r="R57" s="5">
        <f t="shared" si="90"/>
        <v>0</v>
      </c>
      <c r="S57" s="2"/>
      <c r="T57" s="2"/>
      <c r="U57" s="2"/>
      <c r="V57" s="2"/>
      <c r="W57" s="2"/>
      <c r="X57" s="2"/>
      <c r="Y57" s="2"/>
      <c r="Z57" s="2"/>
    </row>
    <row r="58" ht="13.5" customHeight="1">
      <c r="A58" s="2" t="s">
        <v>54</v>
      </c>
      <c r="B58" s="4">
        <v>568.0</v>
      </c>
      <c r="C58" s="4">
        <v>409.0</v>
      </c>
      <c r="D58" s="4">
        <v>242.0</v>
      </c>
      <c r="E58" s="2"/>
      <c r="F58" s="5">
        <f t="shared" ref="F58:G58" si="91">B58/B$32</f>
        <v>0.009141974216</v>
      </c>
      <c r="G58" s="5">
        <f t="shared" si="91"/>
        <v>0.004967329787</v>
      </c>
      <c r="H58" s="5">
        <f t="shared" si="50"/>
        <v>0.00226978559</v>
      </c>
      <c r="I58" s="2"/>
      <c r="J58" s="2"/>
      <c r="K58" s="2" t="s">
        <v>54</v>
      </c>
      <c r="L58" s="4">
        <v>0.0</v>
      </c>
      <c r="M58" s="4">
        <v>0.0</v>
      </c>
      <c r="N58" s="4">
        <v>0.0</v>
      </c>
      <c r="O58" s="2"/>
      <c r="P58" s="5">
        <f t="shared" ref="P58:R58" si="92">L58/L$32</f>
        <v>0</v>
      </c>
      <c r="Q58" s="5">
        <f t="shared" si="92"/>
        <v>0</v>
      </c>
      <c r="R58" s="5">
        <f t="shared" si="92"/>
        <v>0</v>
      </c>
      <c r="S58" s="2"/>
      <c r="T58" s="2"/>
      <c r="U58" s="2"/>
      <c r="V58" s="2"/>
      <c r="W58" s="2"/>
      <c r="X58" s="2"/>
      <c r="Y58" s="2"/>
      <c r="Z58" s="2"/>
    </row>
    <row r="59" ht="13.5" customHeight="1">
      <c r="A59" s="9" t="s">
        <v>55</v>
      </c>
      <c r="B59" s="10">
        <v>31116.0</v>
      </c>
      <c r="C59" s="10">
        <v>36849.0</v>
      </c>
      <c r="D59" s="10">
        <v>43251.0</v>
      </c>
      <c r="E59" s="9"/>
      <c r="F59" s="11">
        <f t="shared" ref="F59:G59" si="93">B59/B$32</f>
        <v>0.5008127988</v>
      </c>
      <c r="G59" s="11">
        <f t="shared" si="93"/>
        <v>0.4475333382</v>
      </c>
      <c r="H59" s="12">
        <f t="shared" si="50"/>
        <v>0.4056632088</v>
      </c>
      <c r="I59" s="9"/>
      <c r="J59" s="9"/>
      <c r="K59" s="9" t="s">
        <v>55</v>
      </c>
      <c r="L59" s="13">
        <f t="shared" ref="L59:N59" si="94">L32-L72</f>
        <v>287912</v>
      </c>
      <c r="M59" s="13">
        <f t="shared" si="94"/>
        <v>302083</v>
      </c>
      <c r="N59" s="13">
        <f t="shared" si="94"/>
        <v>290437</v>
      </c>
      <c r="O59" s="9"/>
      <c r="P59" s="11">
        <f t="shared" ref="P59:R59" si="95">L59/L$32</f>
        <v>0.8202574344</v>
      </c>
      <c r="Q59" s="11">
        <f t="shared" si="95"/>
        <v>0.8563535598</v>
      </c>
      <c r="R59" s="12">
        <f t="shared" si="95"/>
        <v>0.8237407929</v>
      </c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7"/>
      <c r="C60" s="7"/>
      <c r="D60" s="7"/>
      <c r="E60" s="1"/>
      <c r="F60" s="5"/>
      <c r="G60" s="5"/>
      <c r="H60" s="8"/>
      <c r="I60" s="2"/>
      <c r="J60" s="2"/>
      <c r="K60" s="2"/>
      <c r="L60" s="14"/>
      <c r="M60" s="2"/>
      <c r="N60" s="2"/>
      <c r="O60" s="2"/>
      <c r="P60" s="5"/>
      <c r="Q60" s="5"/>
      <c r="R60" s="5"/>
      <c r="S60" s="2"/>
      <c r="T60" s="2"/>
      <c r="U60" s="2"/>
      <c r="V60" s="2"/>
      <c r="W60" s="2"/>
      <c r="X60" s="2"/>
      <c r="Y60" s="2"/>
      <c r="Z60" s="2"/>
    </row>
    <row r="61" ht="13.5" customHeight="1">
      <c r="A61" s="1" t="s">
        <v>56</v>
      </c>
      <c r="B61" s="2"/>
      <c r="C61" s="2"/>
      <c r="D61" s="2"/>
      <c r="E61" s="2"/>
      <c r="F61" s="5"/>
      <c r="G61" s="5"/>
      <c r="H61" s="5"/>
      <c r="I61" s="2"/>
      <c r="J61" s="2"/>
      <c r="K61" s="1" t="s">
        <v>56</v>
      </c>
      <c r="L61" s="2"/>
      <c r="M61" s="2"/>
      <c r="N61" s="2"/>
      <c r="O61" s="2"/>
      <c r="P61" s="5"/>
      <c r="Q61" s="5"/>
      <c r="R61" s="5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 t="s">
        <v>57</v>
      </c>
      <c r="B62" s="4">
        <v>0.0</v>
      </c>
      <c r="C62" s="4">
        <v>0.0</v>
      </c>
      <c r="D62" s="4">
        <v>0.0</v>
      </c>
      <c r="E62" s="2"/>
      <c r="F62" s="5">
        <f t="shared" ref="F62:G62" si="96">B62/B$32</f>
        <v>0</v>
      </c>
      <c r="G62" s="5">
        <f t="shared" si="96"/>
        <v>0</v>
      </c>
      <c r="H62" s="5">
        <f t="shared" ref="H62:H72" si="99">D62/$D$32</f>
        <v>0</v>
      </c>
      <c r="I62" s="2"/>
      <c r="J62" s="2"/>
      <c r="K62" s="2" t="s">
        <v>57</v>
      </c>
      <c r="L62" s="4">
        <v>0.0</v>
      </c>
      <c r="M62" s="4">
        <v>0.0</v>
      </c>
      <c r="N62" s="4">
        <v>0.0</v>
      </c>
      <c r="O62" s="2"/>
      <c r="P62" s="5">
        <f t="shared" ref="P62:R62" si="97">L62/L$32</f>
        <v>0</v>
      </c>
      <c r="Q62" s="5">
        <f t="shared" si="97"/>
        <v>0</v>
      </c>
      <c r="R62" s="5">
        <f t="shared" si="97"/>
        <v>0</v>
      </c>
      <c r="S62" s="2"/>
      <c r="T62" s="2"/>
      <c r="U62" s="2"/>
      <c r="V62" s="2"/>
      <c r="W62" s="2"/>
      <c r="X62" s="2"/>
      <c r="Y62" s="2"/>
      <c r="Z62" s="2"/>
    </row>
    <row r="63" ht="13.5" customHeight="1">
      <c r="A63" s="2" t="s">
        <v>58</v>
      </c>
      <c r="B63" s="4">
        <v>0.0</v>
      </c>
      <c r="C63" s="4">
        <v>0.0</v>
      </c>
      <c r="D63" s="4">
        <v>0.0</v>
      </c>
      <c r="E63" s="2"/>
      <c r="F63" s="5">
        <f t="shared" ref="F63:G63" si="98">B63/B$32</f>
        <v>0</v>
      </c>
      <c r="G63" s="5">
        <f t="shared" si="98"/>
        <v>0</v>
      </c>
      <c r="H63" s="5">
        <f t="shared" si="99"/>
        <v>0</v>
      </c>
      <c r="I63" s="2"/>
      <c r="J63" s="2"/>
      <c r="K63" s="2" t="s">
        <v>58</v>
      </c>
      <c r="L63" s="4">
        <v>0.0</v>
      </c>
      <c r="M63" s="4">
        <v>0.0</v>
      </c>
      <c r="N63" s="4">
        <v>0.0</v>
      </c>
      <c r="O63" s="2"/>
      <c r="P63" s="5">
        <f t="shared" ref="P63:R63" si="100">L63/L$32</f>
        <v>0</v>
      </c>
      <c r="Q63" s="5">
        <f t="shared" si="100"/>
        <v>0</v>
      </c>
      <c r="R63" s="5">
        <f t="shared" si="100"/>
        <v>0</v>
      </c>
      <c r="S63" s="2"/>
      <c r="T63" s="2"/>
      <c r="U63" s="2"/>
      <c r="V63" s="2"/>
      <c r="W63" s="2"/>
      <c r="X63" s="2"/>
      <c r="Y63" s="2"/>
      <c r="Z63" s="2"/>
    </row>
    <row r="64" ht="13.5" customHeight="1">
      <c r="A64" s="2" t="s">
        <v>59</v>
      </c>
      <c r="B64" s="4">
        <v>0.0</v>
      </c>
      <c r="C64" s="4">
        <v>0.0</v>
      </c>
      <c r="D64" s="4">
        <v>0.0</v>
      </c>
      <c r="E64" s="2"/>
      <c r="F64" s="5">
        <f t="shared" ref="F64:G64" si="101">B64/B$32</f>
        <v>0</v>
      </c>
      <c r="G64" s="5">
        <f t="shared" si="101"/>
        <v>0</v>
      </c>
      <c r="H64" s="5">
        <f t="shared" si="99"/>
        <v>0</v>
      </c>
      <c r="I64" s="2"/>
      <c r="J64" s="2"/>
      <c r="K64" s="2" t="s">
        <v>59</v>
      </c>
      <c r="L64" s="4">
        <v>0.0</v>
      </c>
      <c r="M64" s="4">
        <v>0.0</v>
      </c>
      <c r="N64" s="4">
        <v>0.0</v>
      </c>
      <c r="O64" s="2"/>
      <c r="P64" s="5">
        <f t="shared" ref="P64:R64" si="102">L64/L$32</f>
        <v>0</v>
      </c>
      <c r="Q64" s="5">
        <f t="shared" si="102"/>
        <v>0</v>
      </c>
      <c r="R64" s="5">
        <f t="shared" si="102"/>
        <v>0</v>
      </c>
      <c r="S64" s="2"/>
      <c r="T64" s="2"/>
      <c r="U64" s="2"/>
      <c r="V64" s="2"/>
      <c r="W64" s="2"/>
      <c r="X64" s="2"/>
      <c r="Y64" s="2"/>
      <c r="Z64" s="2"/>
    </row>
    <row r="65" ht="13.5" customHeight="1">
      <c r="A65" s="2" t="s">
        <v>60</v>
      </c>
      <c r="B65" s="4">
        <v>30189.0</v>
      </c>
      <c r="C65" s="4">
        <v>44704.0</v>
      </c>
      <c r="D65" s="4">
        <v>62634.0</v>
      </c>
      <c r="E65" s="2"/>
      <c r="F65" s="5">
        <f t="shared" ref="F65:G65" si="103">B65/B$32</f>
        <v>0.4858927106</v>
      </c>
      <c r="G65" s="5">
        <f t="shared" si="103"/>
        <v>0.5429327892</v>
      </c>
      <c r="H65" s="5">
        <f t="shared" si="99"/>
        <v>0.5874617794</v>
      </c>
      <c r="I65" s="2"/>
      <c r="J65" s="2"/>
      <c r="K65" s="2" t="s">
        <v>60</v>
      </c>
      <c r="L65" s="4">
        <v>63090.0</v>
      </c>
      <c r="M65" s="4">
        <v>50672.0</v>
      </c>
      <c r="N65" s="4">
        <v>62146.0</v>
      </c>
      <c r="O65" s="2"/>
      <c r="P65" s="5">
        <f t="shared" ref="P65:R65" si="104">L65/L$32</f>
        <v>0.1797425656</v>
      </c>
      <c r="Q65" s="5">
        <f t="shared" si="104"/>
        <v>0.1436464402</v>
      </c>
      <c r="R65" s="5">
        <f t="shared" si="104"/>
        <v>0.1762592071</v>
      </c>
      <c r="S65" s="2"/>
      <c r="T65" s="2"/>
      <c r="U65" s="2"/>
      <c r="V65" s="2"/>
      <c r="W65" s="2"/>
      <c r="X65" s="2"/>
      <c r="Y65" s="2"/>
      <c r="Z65" s="2"/>
    </row>
    <row r="66" ht="13.5" customHeight="1">
      <c r="A66" s="2" t="s">
        <v>61</v>
      </c>
      <c r="B66" s="4">
        <v>1.0</v>
      </c>
      <c r="C66" s="4">
        <v>3.0</v>
      </c>
      <c r="D66" s="4">
        <v>3.0</v>
      </c>
      <c r="E66" s="2"/>
      <c r="F66" s="5">
        <f t="shared" ref="F66:G66" si="105">B66/B$32</f>
        <v>0.00001609502503</v>
      </c>
      <c r="G66" s="5">
        <f t="shared" si="105"/>
        <v>0.00003643518181</v>
      </c>
      <c r="H66" s="5">
        <f t="shared" si="99"/>
        <v>0.00002813783789</v>
      </c>
      <c r="I66" s="2"/>
      <c r="J66" s="2"/>
      <c r="K66" s="2" t="s">
        <v>61</v>
      </c>
      <c r="L66" s="4">
        <v>0.16</v>
      </c>
      <c r="M66" s="4">
        <v>0.159</v>
      </c>
      <c r="N66" s="4">
        <v>0.156</v>
      </c>
      <c r="O66" s="2"/>
      <c r="P66" s="5">
        <f t="shared" ref="P66:R66" si="106">L66/L$32</f>
        <v>0.0000004558378585</v>
      </c>
      <c r="Q66" s="5">
        <f t="shared" si="106"/>
        <v>0.0000004507377642</v>
      </c>
      <c r="R66" s="5">
        <f t="shared" si="106"/>
        <v>0.000000442449012</v>
      </c>
      <c r="S66" s="2"/>
      <c r="T66" s="2"/>
      <c r="U66" s="2"/>
      <c r="V66" s="2"/>
      <c r="W66" s="2"/>
      <c r="X66" s="2"/>
      <c r="Y66" s="2"/>
      <c r="Z66" s="2"/>
    </row>
    <row r="67" ht="13.5" customHeight="1">
      <c r="A67" s="2" t="s">
        <v>62</v>
      </c>
      <c r="B67" s="4">
        <v>29803.0</v>
      </c>
      <c r="C67" s="4">
        <v>32177.0</v>
      </c>
      <c r="D67" s="4">
        <v>34892.0</v>
      </c>
      <c r="E67" s="2"/>
      <c r="F67" s="5">
        <f t="shared" ref="F67:G67" si="107">B67/B$32</f>
        <v>0.4796800309</v>
      </c>
      <c r="G67" s="5">
        <f t="shared" si="107"/>
        <v>0.3907916151</v>
      </c>
      <c r="H67" s="5">
        <f t="shared" si="99"/>
        <v>0.3272618132</v>
      </c>
      <c r="I67" s="2"/>
      <c r="J67" s="2"/>
      <c r="K67" s="2" t="s">
        <v>62</v>
      </c>
      <c r="L67" s="4">
        <v>57364.84</v>
      </c>
      <c r="M67" s="4">
        <v>64848.841</v>
      </c>
      <c r="N67" s="4">
        <v>73811.844</v>
      </c>
      <c r="O67" s="2"/>
      <c r="P67" s="5">
        <f t="shared" ref="P67:R67" si="108">L67/L$32</f>
        <v>0.1634316614</v>
      </c>
      <c r="Q67" s="5">
        <f t="shared" si="108"/>
        <v>0.183835356</v>
      </c>
      <c r="R67" s="5">
        <f t="shared" si="108"/>
        <v>0.2093460093</v>
      </c>
      <c r="S67" s="2"/>
      <c r="T67" s="2"/>
      <c r="U67" s="2"/>
      <c r="V67" s="2"/>
      <c r="W67" s="2"/>
      <c r="X67" s="2"/>
      <c r="Y67" s="2"/>
      <c r="Z67" s="2"/>
    </row>
    <row r="68" ht="13.5" customHeight="1">
      <c r="A68" s="2" t="s">
        <v>63</v>
      </c>
      <c r="B68" s="4">
        <v>385.0</v>
      </c>
      <c r="C68" s="4">
        <v>12524.0</v>
      </c>
      <c r="D68" s="4">
        <v>27739.0</v>
      </c>
      <c r="E68" s="2"/>
      <c r="F68" s="5">
        <f t="shared" ref="F68:G68" si="109">B68/B$32</f>
        <v>0.006196584636</v>
      </c>
      <c r="G68" s="5">
        <f t="shared" si="109"/>
        <v>0.152104739</v>
      </c>
      <c r="H68" s="5">
        <f t="shared" si="99"/>
        <v>0.2601718284</v>
      </c>
      <c r="I68" s="2"/>
      <c r="J68" s="2"/>
      <c r="K68" s="2" t="s">
        <v>63</v>
      </c>
      <c r="L68" s="4">
        <v>5725.0</v>
      </c>
      <c r="M68" s="4">
        <v>-14177.0</v>
      </c>
      <c r="N68" s="4">
        <v>-11666.0</v>
      </c>
      <c r="O68" s="2"/>
      <c r="P68" s="5">
        <f t="shared" ref="P68:R68" si="110">L68/L$32</f>
        <v>0.01631044837</v>
      </c>
      <c r="Q68" s="5">
        <f t="shared" si="110"/>
        <v>-0.04018936656</v>
      </c>
      <c r="R68" s="5">
        <f t="shared" si="110"/>
        <v>-0.03308724471</v>
      </c>
      <c r="S68" s="2"/>
      <c r="T68" s="2"/>
      <c r="U68" s="2"/>
      <c r="V68" s="2"/>
      <c r="W68" s="2"/>
      <c r="X68" s="2"/>
      <c r="Y68" s="2"/>
      <c r="Z68" s="2"/>
    </row>
    <row r="69" ht="13.5" customHeight="1">
      <c r="A69" s="2" t="s">
        <v>64</v>
      </c>
      <c r="B69" s="4">
        <v>0.0</v>
      </c>
      <c r="C69" s="4">
        <v>0.0</v>
      </c>
      <c r="D69" s="4">
        <v>0.0</v>
      </c>
      <c r="E69" s="2"/>
      <c r="F69" s="5">
        <f t="shared" ref="F69:G69" si="111">B69/B$32</f>
        <v>0</v>
      </c>
      <c r="G69" s="5">
        <f t="shared" si="111"/>
        <v>0</v>
      </c>
      <c r="H69" s="5">
        <f t="shared" si="99"/>
        <v>0</v>
      </c>
      <c r="I69" s="2"/>
      <c r="J69" s="2"/>
      <c r="K69" s="2" t="s">
        <v>64</v>
      </c>
      <c r="L69" s="4">
        <v>0.0</v>
      </c>
      <c r="M69" s="4">
        <v>0.0</v>
      </c>
      <c r="N69" s="4">
        <v>0.0</v>
      </c>
      <c r="O69" s="2"/>
      <c r="P69" s="5">
        <f t="shared" ref="P69:R69" si="112">L69/L$32</f>
        <v>0</v>
      </c>
      <c r="Q69" s="5">
        <f t="shared" si="112"/>
        <v>0</v>
      </c>
      <c r="R69" s="5">
        <f t="shared" si="112"/>
        <v>0</v>
      </c>
      <c r="S69" s="2"/>
      <c r="T69" s="2"/>
      <c r="U69" s="2"/>
      <c r="V69" s="2"/>
      <c r="W69" s="2"/>
      <c r="X69" s="2"/>
      <c r="Y69" s="2"/>
      <c r="Z69" s="2"/>
    </row>
    <row r="70" ht="13.5" customHeight="1">
      <c r="A70" s="2" t="s">
        <v>65</v>
      </c>
      <c r="B70" s="4">
        <v>30189.0</v>
      </c>
      <c r="C70" s="4">
        <v>44704.0</v>
      </c>
      <c r="D70" s="4">
        <v>62634.0</v>
      </c>
      <c r="E70" s="2"/>
      <c r="F70" s="5">
        <f t="shared" ref="F70:G70" si="113">B70/B$32</f>
        <v>0.4858927106</v>
      </c>
      <c r="G70" s="5">
        <f t="shared" si="113"/>
        <v>0.5429327892</v>
      </c>
      <c r="H70" s="5">
        <f t="shared" si="99"/>
        <v>0.5874617794</v>
      </c>
      <c r="I70" s="2"/>
      <c r="J70" s="2"/>
      <c r="K70" s="2" t="s">
        <v>65</v>
      </c>
      <c r="L70" s="4">
        <v>63090.0</v>
      </c>
      <c r="M70" s="4">
        <v>50672.0</v>
      </c>
      <c r="N70" s="4">
        <v>62146.0</v>
      </c>
      <c r="O70" s="2"/>
      <c r="P70" s="5">
        <f t="shared" ref="P70:R70" si="114">L70/L$32</f>
        <v>0.1797425656</v>
      </c>
      <c r="Q70" s="5">
        <f t="shared" si="114"/>
        <v>0.1436464402</v>
      </c>
      <c r="R70" s="5">
        <f t="shared" si="114"/>
        <v>0.1762592071</v>
      </c>
      <c r="S70" s="2"/>
      <c r="T70" s="2"/>
      <c r="U70" s="2"/>
      <c r="V70" s="2"/>
      <c r="W70" s="2"/>
      <c r="X70" s="2"/>
      <c r="Y70" s="2"/>
      <c r="Z70" s="2"/>
    </row>
    <row r="71" ht="13.5" customHeight="1">
      <c r="A71" s="2" t="s">
        <v>66</v>
      </c>
      <c r="B71" s="4">
        <v>826.0</v>
      </c>
      <c r="C71" s="4">
        <v>785.0</v>
      </c>
      <c r="D71" s="4">
        <v>733.0</v>
      </c>
      <c r="E71" s="2"/>
      <c r="F71" s="5">
        <f t="shared" ref="F71:G71" si="115">B71/B$32</f>
        <v>0.01329449067</v>
      </c>
      <c r="G71" s="5">
        <f t="shared" si="115"/>
        <v>0.009533872574</v>
      </c>
      <c r="H71" s="5">
        <f t="shared" si="99"/>
        <v>0.006875011724</v>
      </c>
      <c r="I71" s="2"/>
      <c r="J71" s="2"/>
      <c r="K71" s="2" t="s">
        <v>66</v>
      </c>
      <c r="L71" s="4">
        <v>0.0</v>
      </c>
      <c r="M71" s="4">
        <v>0.0</v>
      </c>
      <c r="N71" s="4">
        <v>0.0</v>
      </c>
      <c r="O71" s="2"/>
      <c r="P71" s="5">
        <f t="shared" ref="P71:R71" si="116">L71/L$32</f>
        <v>0</v>
      </c>
      <c r="Q71" s="5">
        <f t="shared" si="116"/>
        <v>0</v>
      </c>
      <c r="R71" s="5">
        <f t="shared" si="116"/>
        <v>0</v>
      </c>
      <c r="S71" s="2"/>
      <c r="T71" s="2"/>
      <c r="U71" s="2"/>
      <c r="V71" s="2"/>
      <c r="W71" s="2"/>
      <c r="X71" s="2"/>
      <c r="Y71" s="2"/>
      <c r="Z71" s="2"/>
    </row>
    <row r="72" ht="13.5" customHeight="1">
      <c r="A72" s="9" t="s">
        <v>67</v>
      </c>
      <c r="B72" s="10">
        <v>31015.0</v>
      </c>
      <c r="C72" s="10">
        <v>45489.0</v>
      </c>
      <c r="D72" s="10">
        <v>63367.0</v>
      </c>
      <c r="E72" s="9"/>
      <c r="F72" s="11">
        <f t="shared" ref="F72:G72" si="117">B72/B$32</f>
        <v>0.4991872012</v>
      </c>
      <c r="G72" s="11">
        <f t="shared" si="117"/>
        <v>0.5524666618</v>
      </c>
      <c r="H72" s="12">
        <f t="shared" si="99"/>
        <v>0.5943367912</v>
      </c>
      <c r="I72" s="9"/>
      <c r="J72" s="9"/>
      <c r="K72" s="9" t="s">
        <v>67</v>
      </c>
      <c r="L72" s="10">
        <v>63090.0</v>
      </c>
      <c r="M72" s="10">
        <v>50672.0</v>
      </c>
      <c r="N72" s="10">
        <v>62146.0</v>
      </c>
      <c r="O72" s="9"/>
      <c r="P72" s="11">
        <f t="shared" ref="P72:R72" si="118">L72/L$32</f>
        <v>0.1797425656</v>
      </c>
      <c r="Q72" s="11">
        <f t="shared" si="118"/>
        <v>0.1436464402</v>
      </c>
      <c r="R72" s="12">
        <f t="shared" si="118"/>
        <v>0.1762592071</v>
      </c>
      <c r="S72" s="1"/>
      <c r="T72" s="1"/>
      <c r="U72" s="1"/>
      <c r="V72" s="1"/>
      <c r="W72" s="1"/>
      <c r="X72" s="1"/>
      <c r="Y72" s="1"/>
      <c r="Z72" s="1"/>
    </row>
    <row r="73" ht="13.5" customHeight="1">
      <c r="A73" s="2"/>
      <c r="B73" s="4"/>
      <c r="C73" s="4"/>
      <c r="D73" s="4"/>
      <c r="E73" s="2"/>
      <c r="F73" s="5"/>
      <c r="G73" s="5"/>
      <c r="H73" s="5"/>
      <c r="I73" s="2"/>
      <c r="J73" s="2"/>
      <c r="K73" s="2"/>
      <c r="L73" s="4"/>
      <c r="M73" s="4"/>
      <c r="N73" s="4"/>
      <c r="O73" s="2"/>
      <c r="P73" s="5"/>
      <c r="Q73" s="5"/>
      <c r="R73" s="5"/>
      <c r="S73" s="2"/>
      <c r="T73" s="2"/>
      <c r="U73" s="2"/>
      <c r="V73" s="2"/>
      <c r="W73" s="2"/>
      <c r="X73" s="2"/>
      <c r="Y73" s="2"/>
      <c r="Z73" s="2"/>
    </row>
    <row r="74" ht="13.5" customHeight="1">
      <c r="A74" s="1" t="s">
        <v>68</v>
      </c>
      <c r="B74" s="7">
        <v>62131.0</v>
      </c>
      <c r="C74" s="7">
        <v>82338.0</v>
      </c>
      <c r="D74" s="7">
        <v>106618.0</v>
      </c>
      <c r="E74" s="1"/>
      <c r="F74" s="8">
        <f t="shared" ref="F74:G74" si="119">B74/B$32</f>
        <v>1</v>
      </c>
      <c r="G74" s="8">
        <f t="shared" si="119"/>
        <v>1</v>
      </c>
      <c r="H74" s="5">
        <f>D74/$D$32</f>
        <v>1</v>
      </c>
      <c r="I74" s="1"/>
      <c r="J74" s="1"/>
      <c r="K74" s="1" t="s">
        <v>68</v>
      </c>
      <c r="L74" s="7">
        <v>351002.0</v>
      </c>
      <c r="M74" s="7">
        <v>352755.0</v>
      </c>
      <c r="N74" s="7">
        <v>352583.0</v>
      </c>
      <c r="O74" s="1"/>
      <c r="P74" s="8">
        <f t="shared" ref="P74:R74" si="120">L74/L$32</f>
        <v>1</v>
      </c>
      <c r="Q74" s="8">
        <f t="shared" si="120"/>
        <v>1</v>
      </c>
      <c r="R74" s="8">
        <f t="shared" si="120"/>
        <v>1</v>
      </c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7"/>
      <c r="C75" s="7"/>
      <c r="D75" s="7"/>
      <c r="E75" s="1"/>
      <c r="F75" s="2"/>
      <c r="G75" s="1"/>
      <c r="H75" s="1"/>
      <c r="I75" s="1"/>
      <c r="J75" s="1"/>
      <c r="K75" s="1"/>
      <c r="L75" s="7"/>
      <c r="M75" s="7"/>
      <c r="N75" s="7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3" t="s">
        <v>69</v>
      </c>
      <c r="B77" s="2"/>
      <c r="C77" s="2"/>
      <c r="D77" s="2"/>
      <c r="E77" s="2"/>
      <c r="F77" s="2"/>
      <c r="G77" s="2"/>
      <c r="H77" s="2"/>
      <c r="I77" s="2"/>
      <c r="J77" s="2"/>
      <c r="K77" s="3" t="s">
        <v>69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 t="s">
        <v>70</v>
      </c>
      <c r="B78" s="4">
        <v>53823.0</v>
      </c>
      <c r="C78" s="4">
        <v>81462.0</v>
      </c>
      <c r="D78" s="4">
        <v>96773.0</v>
      </c>
      <c r="E78" s="2"/>
      <c r="F78" s="5">
        <f t="shared" ref="F78:G78" si="121">B78/B$78</f>
        <v>1</v>
      </c>
      <c r="G78" s="5">
        <f t="shared" si="121"/>
        <v>1</v>
      </c>
      <c r="H78" s="5">
        <f t="shared" ref="H78:H82" si="124">D78/$D$78</f>
        <v>1</v>
      </c>
      <c r="I78" s="2"/>
      <c r="J78" s="2"/>
      <c r="K78" s="2" t="s">
        <v>70</v>
      </c>
      <c r="L78" s="4">
        <v>365817.0</v>
      </c>
      <c r="M78" s="4">
        <v>394328.0</v>
      </c>
      <c r="N78" s="4">
        <v>383285.0</v>
      </c>
      <c r="O78" s="2"/>
      <c r="P78" s="5">
        <f t="shared" ref="P78:R78" si="122">L78/L$78</f>
        <v>1</v>
      </c>
      <c r="Q78" s="5">
        <f t="shared" si="122"/>
        <v>1</v>
      </c>
      <c r="R78" s="5">
        <f t="shared" si="122"/>
        <v>1</v>
      </c>
      <c r="S78" s="2"/>
      <c r="T78" s="2"/>
      <c r="U78" s="2"/>
      <c r="V78" s="2"/>
      <c r="W78" s="2"/>
      <c r="X78" s="2"/>
      <c r="Y78" s="2"/>
      <c r="Z78" s="2"/>
    </row>
    <row r="79" ht="13.5" customHeight="1">
      <c r="A79" s="2" t="s">
        <v>71</v>
      </c>
      <c r="B79" s="4">
        <v>37306.0</v>
      </c>
      <c r="C79" s="4">
        <v>56862.0</v>
      </c>
      <c r="D79" s="4">
        <v>74446.0</v>
      </c>
      <c r="E79" s="2"/>
      <c r="F79" s="5">
        <f t="shared" ref="F79:G79" si="123">B79/B$78</f>
        <v>0.6931237575</v>
      </c>
      <c r="G79" s="5">
        <f t="shared" si="123"/>
        <v>0.6980187081</v>
      </c>
      <c r="H79" s="5">
        <f t="shared" si="124"/>
        <v>0.7692848212</v>
      </c>
      <c r="I79" s="2"/>
      <c r="J79" s="2"/>
      <c r="K79" s="2" t="s">
        <v>71</v>
      </c>
      <c r="L79" s="4">
        <v>203481.0</v>
      </c>
      <c r="M79" s="4">
        <v>214846.0</v>
      </c>
      <c r="N79" s="4">
        <v>205637.0</v>
      </c>
      <c r="O79" s="2"/>
      <c r="P79" s="5">
        <f t="shared" ref="P79:R79" si="125">L79/L$78</f>
        <v>0.556237135</v>
      </c>
      <c r="Q79" s="5">
        <f t="shared" si="125"/>
        <v>0.5448408432</v>
      </c>
      <c r="R79" s="5">
        <f t="shared" si="125"/>
        <v>0.536511995</v>
      </c>
      <c r="S79" s="2"/>
      <c r="T79" s="2"/>
      <c r="U79" s="2"/>
      <c r="V79" s="2"/>
      <c r="W79" s="2"/>
      <c r="X79" s="2"/>
      <c r="Y79" s="2"/>
      <c r="Z79" s="2"/>
    </row>
    <row r="80" ht="13.5" customHeight="1">
      <c r="A80" s="2" t="s">
        <v>72</v>
      </c>
      <c r="B80" s="4">
        <v>7110.0</v>
      </c>
      <c r="C80" s="4">
        <v>7021.0</v>
      </c>
      <c r="D80" s="4">
        <v>8769.0</v>
      </c>
      <c r="E80" s="2"/>
      <c r="F80" s="5">
        <f t="shared" ref="F80:G80" si="126">B80/B$78</f>
        <v>0.13209966</v>
      </c>
      <c r="G80" s="5">
        <f t="shared" si="126"/>
        <v>0.08618742481</v>
      </c>
      <c r="H80" s="5">
        <f t="shared" si="124"/>
        <v>0.09061411757</v>
      </c>
      <c r="I80" s="2"/>
      <c r="J80" s="2"/>
      <c r="K80" s="2" t="s">
        <v>72</v>
      </c>
      <c r="L80" s="4">
        <v>43887.0</v>
      </c>
      <c r="M80" s="4">
        <v>51345.0</v>
      </c>
      <c r="N80" s="4">
        <v>54847.0</v>
      </c>
      <c r="O80" s="2"/>
      <c r="P80" s="5">
        <f t="shared" ref="P80:R80" si="127">L80/L$78</f>
        <v>0.119969821</v>
      </c>
      <c r="Q80" s="5">
        <f t="shared" si="127"/>
        <v>0.1302088617</v>
      </c>
      <c r="R80" s="5">
        <f t="shared" si="127"/>
        <v>0.1430971731</v>
      </c>
      <c r="S80" s="2"/>
      <c r="T80" s="2"/>
      <c r="U80" s="2"/>
      <c r="V80" s="2"/>
      <c r="W80" s="2"/>
      <c r="X80" s="2"/>
      <c r="Y80" s="2"/>
      <c r="Z80" s="2"/>
    </row>
    <row r="81" ht="13.5" customHeight="1">
      <c r="A81" s="9" t="s">
        <v>73</v>
      </c>
      <c r="B81" s="10">
        <v>9407.0</v>
      </c>
      <c r="C81" s="10">
        <v>17579.0</v>
      </c>
      <c r="D81" s="10">
        <v>13558.0</v>
      </c>
      <c r="E81" s="9"/>
      <c r="F81" s="11">
        <f t="shared" ref="F81:G81" si="128">B81/B$78</f>
        <v>0.1747765825</v>
      </c>
      <c r="G81" s="11">
        <f t="shared" si="128"/>
        <v>0.2157938671</v>
      </c>
      <c r="H81" s="12">
        <f t="shared" si="124"/>
        <v>0.1401010612</v>
      </c>
      <c r="I81" s="9" t="s">
        <v>74</v>
      </c>
      <c r="J81" s="9"/>
      <c r="K81" s="9" t="s">
        <v>73</v>
      </c>
      <c r="L81" s="10">
        <v>118449.0</v>
      </c>
      <c r="M81" s="10">
        <v>128137.0</v>
      </c>
      <c r="N81" s="10">
        <v>122801.0</v>
      </c>
      <c r="O81" s="9"/>
      <c r="P81" s="11">
        <f t="shared" ref="P81:R81" si="129">L81/L$78</f>
        <v>0.3237930441</v>
      </c>
      <c r="Q81" s="11">
        <f t="shared" si="129"/>
        <v>0.3249502952</v>
      </c>
      <c r="R81" s="12">
        <f t="shared" si="129"/>
        <v>0.3203908319</v>
      </c>
      <c r="S81" s="9" t="s">
        <v>74</v>
      </c>
      <c r="T81" s="1"/>
      <c r="U81" s="1"/>
      <c r="V81" s="1"/>
      <c r="W81" s="1"/>
      <c r="X81" s="1"/>
      <c r="Y81" s="1"/>
      <c r="Z81" s="1"/>
    </row>
    <row r="82" ht="13.5" customHeight="1">
      <c r="A82" s="2" t="s">
        <v>75</v>
      </c>
      <c r="B82" s="4">
        <v>2911.0</v>
      </c>
      <c r="C82" s="4">
        <v>3747.0</v>
      </c>
      <c r="D82" s="4">
        <v>4667.0</v>
      </c>
      <c r="E82" s="2"/>
      <c r="F82" s="5">
        <f t="shared" ref="F82:G82" si="130">B82/B$78</f>
        <v>0.05408468499</v>
      </c>
      <c r="G82" s="5">
        <f t="shared" si="130"/>
        <v>0.04599690653</v>
      </c>
      <c r="H82" s="5">
        <f t="shared" si="124"/>
        <v>0.04822626146</v>
      </c>
      <c r="I82" s="2"/>
      <c r="J82" s="2"/>
      <c r="K82" s="2" t="s">
        <v>75</v>
      </c>
      <c r="L82" s="4">
        <v>9500.0</v>
      </c>
      <c r="M82" s="4">
        <v>8700.0</v>
      </c>
      <c r="N82" s="4">
        <v>8500.0</v>
      </c>
      <c r="O82" s="2"/>
      <c r="P82" s="5">
        <f t="shared" ref="P82:R82" si="131">L82/L$78</f>
        <v>0.02596926879</v>
      </c>
      <c r="Q82" s="5">
        <f t="shared" si="131"/>
        <v>0.02206285123</v>
      </c>
      <c r="R82" s="5">
        <f t="shared" si="131"/>
        <v>0.02217670924</v>
      </c>
      <c r="S82" s="2"/>
      <c r="T82" s="2"/>
      <c r="U82" s="2"/>
      <c r="V82" s="2"/>
      <c r="W82" s="2"/>
      <c r="X82" s="2"/>
      <c r="Y82" s="2"/>
      <c r="Z82" s="2"/>
    </row>
    <row r="83" ht="13.5" customHeight="1">
      <c r="A83" s="2" t="s">
        <v>76</v>
      </c>
      <c r="B83" s="4">
        <v>51.0</v>
      </c>
      <c r="C83" s="2" t="s">
        <v>13</v>
      </c>
      <c r="D83" s="2" t="s">
        <v>13</v>
      </c>
      <c r="E83" s="2"/>
      <c r="F83" s="5">
        <f>B83/B$78</f>
        <v>0.0009475503038</v>
      </c>
      <c r="G83" s="5">
        <v>0.0</v>
      </c>
      <c r="H83" s="6">
        <v>0.0</v>
      </c>
      <c r="I83" s="2"/>
      <c r="J83" s="2"/>
      <c r="K83" s="2" t="s">
        <v>76</v>
      </c>
      <c r="L83" s="2" t="s">
        <v>13</v>
      </c>
      <c r="M83" s="2" t="s">
        <v>13</v>
      </c>
      <c r="N83" s="2" t="s">
        <v>13</v>
      </c>
      <c r="O83" s="2"/>
      <c r="P83" s="5">
        <v>0.0</v>
      </c>
      <c r="Q83" s="5">
        <v>0.0</v>
      </c>
      <c r="R83" s="5">
        <f t="shared" ref="R83:R85" si="132">0</f>
        <v>0</v>
      </c>
      <c r="S83" s="2"/>
      <c r="T83" s="2"/>
      <c r="U83" s="2"/>
      <c r="V83" s="2"/>
      <c r="W83" s="2"/>
      <c r="X83" s="2"/>
      <c r="Y83" s="2"/>
      <c r="Z83" s="2"/>
    </row>
    <row r="84" ht="13.5" customHeight="1">
      <c r="A84" s="2" t="s">
        <v>77</v>
      </c>
      <c r="B84" s="2" t="s">
        <v>13</v>
      </c>
      <c r="C84" s="2" t="s">
        <v>13</v>
      </c>
      <c r="D84" s="2" t="s">
        <v>13</v>
      </c>
      <c r="E84" s="2"/>
      <c r="F84" s="5">
        <v>0.0</v>
      </c>
      <c r="G84" s="5">
        <v>0.0</v>
      </c>
      <c r="H84" s="6">
        <v>0.0</v>
      </c>
      <c r="I84" s="2"/>
      <c r="J84" s="2"/>
      <c r="K84" s="2" t="s">
        <v>77</v>
      </c>
      <c r="L84" s="2" t="s">
        <v>13</v>
      </c>
      <c r="M84" s="2" t="s">
        <v>13</v>
      </c>
      <c r="N84" s="2" t="s">
        <v>13</v>
      </c>
      <c r="O84" s="2"/>
      <c r="P84" s="5">
        <v>0.0</v>
      </c>
      <c r="Q84" s="5">
        <v>0.0</v>
      </c>
      <c r="R84" s="5">
        <f t="shared" si="132"/>
        <v>0</v>
      </c>
      <c r="S84" s="2"/>
      <c r="T84" s="2"/>
      <c r="U84" s="2"/>
      <c r="V84" s="2"/>
      <c r="W84" s="2"/>
      <c r="X84" s="2"/>
      <c r="Y84" s="2"/>
      <c r="Z84" s="2"/>
    </row>
    <row r="85" ht="13.5" customHeight="1">
      <c r="A85" s="2" t="s">
        <v>78</v>
      </c>
      <c r="B85" s="2" t="s">
        <v>13</v>
      </c>
      <c r="C85" s="2" t="s">
        <v>13</v>
      </c>
      <c r="D85" s="2" t="s">
        <v>13</v>
      </c>
      <c r="E85" s="2"/>
      <c r="F85" s="5">
        <v>0.0</v>
      </c>
      <c r="G85" s="5">
        <v>0.0</v>
      </c>
      <c r="H85" s="6">
        <v>0.0</v>
      </c>
      <c r="I85" s="2"/>
      <c r="J85" s="2"/>
      <c r="K85" s="2" t="s">
        <v>78</v>
      </c>
      <c r="L85" s="2" t="s">
        <v>13</v>
      </c>
      <c r="M85" s="2" t="s">
        <v>13</v>
      </c>
      <c r="N85" s="2" t="s">
        <v>13</v>
      </c>
      <c r="O85" s="2"/>
      <c r="P85" s="5">
        <v>0.0</v>
      </c>
      <c r="Q85" s="5">
        <v>0.0</v>
      </c>
      <c r="R85" s="5">
        <f t="shared" si="132"/>
        <v>0</v>
      </c>
      <c r="S85" s="2"/>
      <c r="T85" s="2"/>
      <c r="U85" s="2"/>
      <c r="V85" s="2"/>
      <c r="W85" s="2"/>
      <c r="X85" s="2"/>
      <c r="Y85" s="2"/>
      <c r="Z85" s="2"/>
    </row>
    <row r="86" ht="13.5" customHeight="1">
      <c r="A86" s="9" t="s">
        <v>79</v>
      </c>
      <c r="B86" s="10">
        <v>6496.0</v>
      </c>
      <c r="C86" s="10">
        <v>13832.0</v>
      </c>
      <c r="D86" s="10">
        <v>8891.0</v>
      </c>
      <c r="E86" s="9"/>
      <c r="F86" s="11">
        <f t="shared" ref="F86:G86" si="133">B86/B$78</f>
        <v>0.1206918975</v>
      </c>
      <c r="G86" s="11">
        <f t="shared" si="133"/>
        <v>0.1697969605</v>
      </c>
      <c r="H86" s="12">
        <f t="shared" ref="H86:H114" si="136">D86/$D$78</f>
        <v>0.09187479979</v>
      </c>
      <c r="I86" s="9" t="s">
        <v>80</v>
      </c>
      <c r="J86" s="9"/>
      <c r="K86" s="9" t="s">
        <v>79</v>
      </c>
      <c r="L86" s="10">
        <v>108949.0</v>
      </c>
      <c r="M86" s="10">
        <v>119437.0</v>
      </c>
      <c r="N86" s="10">
        <v>114301.0</v>
      </c>
      <c r="O86" s="9"/>
      <c r="P86" s="11">
        <f t="shared" ref="P86:R86" si="134">L86/L$78</f>
        <v>0.2978237753</v>
      </c>
      <c r="Q86" s="11">
        <f t="shared" si="134"/>
        <v>0.302887444</v>
      </c>
      <c r="R86" s="12">
        <f t="shared" si="134"/>
        <v>0.2982141227</v>
      </c>
      <c r="S86" s="9" t="s">
        <v>80</v>
      </c>
      <c r="T86" s="1"/>
      <c r="U86" s="1"/>
      <c r="V86" s="1"/>
      <c r="W86" s="1"/>
      <c r="X86" s="1"/>
      <c r="Y86" s="1"/>
      <c r="Z86" s="1"/>
    </row>
    <row r="87" ht="13.5" customHeight="1">
      <c r="A87" s="2" t="s">
        <v>81</v>
      </c>
      <c r="B87" s="4">
        <v>348.0</v>
      </c>
      <c r="C87" s="4">
        <v>191.0</v>
      </c>
      <c r="D87" s="4">
        <v>156.0</v>
      </c>
      <c r="E87" s="2"/>
      <c r="F87" s="5">
        <f t="shared" ref="F87:G87" si="135">B87/B$78</f>
        <v>0.006465637367</v>
      </c>
      <c r="G87" s="5">
        <f t="shared" si="135"/>
        <v>0.002344651494</v>
      </c>
      <c r="H87" s="5">
        <f t="shared" si="136"/>
        <v>0.001612019882</v>
      </c>
      <c r="I87" s="2"/>
      <c r="J87" s="2"/>
      <c r="K87" s="2" t="s">
        <v>81</v>
      </c>
      <c r="L87" s="4">
        <v>2645.0</v>
      </c>
      <c r="M87" s="4">
        <v>2931.0</v>
      </c>
      <c r="N87" s="4">
        <v>3933.0</v>
      </c>
      <c r="O87" s="2"/>
      <c r="P87" s="5">
        <f t="shared" ref="P87:R87" si="137">L87/L$78</f>
        <v>0.007230391152</v>
      </c>
      <c r="Q87" s="5">
        <f t="shared" si="137"/>
        <v>0.007432898501</v>
      </c>
      <c r="R87" s="5">
        <f t="shared" si="137"/>
        <v>0.01026129382</v>
      </c>
      <c r="S87" s="2"/>
      <c r="T87" s="2"/>
      <c r="U87" s="2"/>
      <c r="V87" s="2"/>
      <c r="W87" s="2"/>
      <c r="X87" s="2"/>
      <c r="Y87" s="2"/>
      <c r="Z87" s="2"/>
    </row>
    <row r="88" ht="13.5" customHeight="1">
      <c r="A88" s="2" t="s">
        <v>82</v>
      </c>
      <c r="B88" s="4">
        <v>271.0</v>
      </c>
      <c r="C88" s="4">
        <v>114.0</v>
      </c>
      <c r="D88" s="4">
        <v>1238.0</v>
      </c>
      <c r="E88" s="2"/>
      <c r="F88" s="5">
        <f t="shared" ref="F88:G88" si="138">B88/B$78</f>
        <v>0.005035022202</v>
      </c>
      <c r="G88" s="5">
        <f t="shared" si="138"/>
        <v>0.001399425499</v>
      </c>
      <c r="H88" s="5">
        <f t="shared" si="136"/>
        <v>0.01279282444</v>
      </c>
      <c r="I88" s="2"/>
      <c r="J88" s="2"/>
      <c r="K88" s="2" t="s">
        <v>82</v>
      </c>
      <c r="L88" s="4">
        <v>2903.0</v>
      </c>
      <c r="M88" s="4">
        <v>2597.0</v>
      </c>
      <c r="N88" s="4">
        <v>3368.0</v>
      </c>
      <c r="O88" s="2"/>
      <c r="P88" s="5">
        <f t="shared" ref="P88:R88" si="139">L88/L$78</f>
        <v>0.00793566182</v>
      </c>
      <c r="Q88" s="5">
        <f t="shared" si="139"/>
        <v>0.00658588789</v>
      </c>
      <c r="R88" s="5">
        <f t="shared" si="139"/>
        <v>0.008787194907</v>
      </c>
      <c r="S88" s="2"/>
      <c r="T88" s="2"/>
      <c r="U88" s="2"/>
      <c r="V88" s="2"/>
      <c r="W88" s="2"/>
      <c r="X88" s="2"/>
      <c r="Y88" s="2"/>
      <c r="Z88" s="2"/>
    </row>
    <row r="89" ht="13.5" customHeight="1">
      <c r="A89" s="2" t="s">
        <v>83</v>
      </c>
      <c r="B89" s="4">
        <v>215.0</v>
      </c>
      <c r="C89" s="4">
        <v>-183.0</v>
      </c>
      <c r="D89" s="4">
        <v>172.0</v>
      </c>
      <c r="E89" s="2"/>
      <c r="F89" s="5">
        <f t="shared" ref="F89:G89" si="140">B89/B$78</f>
        <v>0.00399457481</v>
      </c>
      <c r="G89" s="5">
        <f t="shared" si="140"/>
        <v>-0.002246446196</v>
      </c>
      <c r="H89" s="5">
        <f t="shared" si="136"/>
        <v>0.001777355254</v>
      </c>
      <c r="I89" s="2"/>
      <c r="J89" s="2"/>
      <c r="K89" s="2" t="s">
        <v>83</v>
      </c>
      <c r="L89" s="4">
        <v>2903.0</v>
      </c>
      <c r="M89" s="4">
        <v>2597.0</v>
      </c>
      <c r="N89" s="4">
        <v>3368.0</v>
      </c>
      <c r="O89" s="2"/>
      <c r="P89" s="5">
        <f t="shared" ref="P89:R89" si="141">L89/L$78</f>
        <v>0.00793566182</v>
      </c>
      <c r="Q89" s="5">
        <f t="shared" si="141"/>
        <v>0.00658588789</v>
      </c>
      <c r="R89" s="5">
        <f t="shared" si="141"/>
        <v>0.008787194907</v>
      </c>
      <c r="S89" s="2"/>
      <c r="T89" s="2"/>
      <c r="U89" s="2"/>
      <c r="V89" s="2"/>
      <c r="W89" s="2"/>
      <c r="X89" s="2"/>
      <c r="Y89" s="2"/>
      <c r="Z89" s="2"/>
    </row>
    <row r="90" ht="13.5" customHeight="1">
      <c r="A90" s="2" t="s">
        <v>84</v>
      </c>
      <c r="B90" s="4">
        <v>56.0</v>
      </c>
      <c r="C90" s="4">
        <v>297.0</v>
      </c>
      <c r="D90" s="4">
        <v>1066.0</v>
      </c>
      <c r="E90" s="2"/>
      <c r="F90" s="5">
        <f t="shared" ref="F90:G90" si="142">B90/B$78</f>
        <v>0.001040447392</v>
      </c>
      <c r="G90" s="5">
        <f t="shared" si="142"/>
        <v>0.003645871695</v>
      </c>
      <c r="H90" s="5">
        <f t="shared" si="136"/>
        <v>0.01101546919</v>
      </c>
      <c r="I90" s="2"/>
      <c r="J90" s="2"/>
      <c r="K90" s="2" t="s">
        <v>84</v>
      </c>
      <c r="L90" s="2" t="s">
        <v>13</v>
      </c>
      <c r="M90" s="2" t="s">
        <v>13</v>
      </c>
      <c r="N90" s="2" t="s">
        <v>13</v>
      </c>
      <c r="O90" s="2"/>
      <c r="P90" s="5">
        <v>0.0</v>
      </c>
      <c r="Q90" s="5">
        <v>0.0</v>
      </c>
      <c r="R90" s="5">
        <f>0</f>
        <v>0</v>
      </c>
      <c r="S90" s="2"/>
      <c r="T90" s="2"/>
      <c r="U90" s="2"/>
      <c r="V90" s="2"/>
      <c r="W90" s="2"/>
      <c r="X90" s="2"/>
      <c r="Y90" s="2"/>
      <c r="Z90" s="2"/>
    </row>
    <row r="91" ht="13.5" customHeight="1">
      <c r="A91" s="2" t="s">
        <v>85</v>
      </c>
      <c r="B91" s="4">
        <v>-76.0</v>
      </c>
      <c r="C91" s="4">
        <v>-36.0</v>
      </c>
      <c r="D91" s="4">
        <v>0.0</v>
      </c>
      <c r="E91" s="2"/>
      <c r="F91" s="5">
        <f t="shared" ref="F91:G91" si="143">B91/B$78</f>
        <v>-0.001412035747</v>
      </c>
      <c r="G91" s="5">
        <f t="shared" si="143"/>
        <v>-0.0004419238418</v>
      </c>
      <c r="H91" s="5">
        <f t="shared" si="136"/>
        <v>0</v>
      </c>
      <c r="I91" s="2"/>
      <c r="J91" s="2"/>
      <c r="K91" s="2" t="s">
        <v>85</v>
      </c>
      <c r="L91" s="4">
        <v>0.0</v>
      </c>
      <c r="M91" s="4">
        <v>0.0</v>
      </c>
      <c r="N91" s="4">
        <v>0.0</v>
      </c>
      <c r="O91" s="2"/>
      <c r="P91" s="5">
        <f t="shared" ref="P91:R91" si="144">L91/L$78</f>
        <v>0</v>
      </c>
      <c r="Q91" s="5">
        <f t="shared" si="144"/>
        <v>0</v>
      </c>
      <c r="R91" s="5">
        <f t="shared" si="144"/>
        <v>0</v>
      </c>
      <c r="S91" s="2"/>
      <c r="T91" s="2"/>
      <c r="U91" s="2"/>
      <c r="V91" s="2"/>
      <c r="W91" s="2"/>
      <c r="X91" s="2"/>
      <c r="Y91" s="2"/>
      <c r="Z91" s="2"/>
    </row>
    <row r="92" ht="13.5" customHeight="1">
      <c r="A92" s="9" t="s">
        <v>86</v>
      </c>
      <c r="B92" s="10">
        <v>6343.0</v>
      </c>
      <c r="C92" s="10">
        <v>13719.0</v>
      </c>
      <c r="D92" s="10">
        <v>9973.0</v>
      </c>
      <c r="E92" s="9"/>
      <c r="F92" s="11">
        <f t="shared" ref="F92:G92" si="145">B92/B$78</f>
        <v>0.1178492466</v>
      </c>
      <c r="G92" s="11">
        <f t="shared" si="145"/>
        <v>0.1684098107</v>
      </c>
      <c r="H92" s="12">
        <f t="shared" si="136"/>
        <v>0.1030556044</v>
      </c>
      <c r="I92" s="9" t="s">
        <v>87</v>
      </c>
      <c r="J92" s="9"/>
      <c r="K92" s="9" t="s">
        <v>86</v>
      </c>
      <c r="L92" s="10">
        <v>109207.0</v>
      </c>
      <c r="M92" s="10">
        <v>119103.0</v>
      </c>
      <c r="N92" s="10">
        <v>113736.0</v>
      </c>
      <c r="O92" s="9"/>
      <c r="P92" s="11">
        <f t="shared" ref="P92:R92" si="146">L92/L$78</f>
        <v>0.2985290459</v>
      </c>
      <c r="Q92" s="11">
        <f t="shared" si="146"/>
        <v>0.3020404333</v>
      </c>
      <c r="R92" s="12">
        <f t="shared" si="146"/>
        <v>0.2967400237</v>
      </c>
      <c r="S92" s="9" t="s">
        <v>87</v>
      </c>
      <c r="T92" s="1"/>
      <c r="U92" s="1"/>
      <c r="V92" s="1"/>
      <c r="W92" s="1"/>
      <c r="X92" s="1"/>
      <c r="Y92" s="1"/>
      <c r="Z92" s="1"/>
    </row>
    <row r="93" ht="13.5" customHeight="1">
      <c r="A93" s="2" t="s">
        <v>88</v>
      </c>
      <c r="B93" s="4">
        <v>-130.0</v>
      </c>
      <c r="C93" s="4">
        <v>5524.0</v>
      </c>
      <c r="D93" s="4">
        <v>3196.0</v>
      </c>
      <c r="E93" s="2"/>
      <c r="F93" s="5">
        <f t="shared" ref="F93:G93" si="147">B93/B$78</f>
        <v>-0.002415324304</v>
      </c>
      <c r="G93" s="5">
        <f t="shared" si="147"/>
        <v>0.06781075839</v>
      </c>
      <c r="H93" s="5">
        <f t="shared" si="136"/>
        <v>0.03302574065</v>
      </c>
      <c r="I93" s="2"/>
      <c r="J93" s="2"/>
      <c r="K93" s="2" t="s">
        <v>88</v>
      </c>
      <c r="L93" s="4">
        <v>40507.0</v>
      </c>
      <c r="M93" s="4">
        <v>47803.0</v>
      </c>
      <c r="N93" s="4">
        <v>40836.0</v>
      </c>
      <c r="O93" s="2"/>
      <c r="P93" s="5">
        <f t="shared" ref="P93:R93" si="148">L93/L$78</f>
        <v>0.1107302285</v>
      </c>
      <c r="Q93" s="5">
        <f t="shared" si="148"/>
        <v>0.1212264917</v>
      </c>
      <c r="R93" s="5">
        <f t="shared" si="148"/>
        <v>0.1065421292</v>
      </c>
      <c r="S93" s="2"/>
      <c r="T93" s="2"/>
      <c r="U93" s="2"/>
      <c r="V93" s="2"/>
      <c r="W93" s="2"/>
      <c r="X93" s="2"/>
      <c r="Y93" s="2"/>
      <c r="Z93" s="2"/>
    </row>
    <row r="94" ht="13.5" customHeight="1">
      <c r="A94" s="2" t="s">
        <v>89</v>
      </c>
      <c r="B94" s="4">
        <v>6348.0</v>
      </c>
      <c r="C94" s="4">
        <v>8164.0</v>
      </c>
      <c r="D94" s="4">
        <v>6800.0</v>
      </c>
      <c r="E94" s="2"/>
      <c r="F94" s="5">
        <f t="shared" ref="F94:G94" si="149">B94/B$78</f>
        <v>0.1179421437</v>
      </c>
      <c r="G94" s="5">
        <f t="shared" si="149"/>
        <v>0.1002185068</v>
      </c>
      <c r="H94" s="5">
        <f t="shared" si="136"/>
        <v>0.0702675333</v>
      </c>
      <c r="I94" s="2"/>
      <c r="J94" s="2"/>
      <c r="K94" s="2" t="s">
        <v>89</v>
      </c>
      <c r="L94" s="4">
        <v>68700.0</v>
      </c>
      <c r="M94" s="4">
        <v>71300.0</v>
      </c>
      <c r="N94" s="4">
        <v>72900.0</v>
      </c>
      <c r="O94" s="2"/>
      <c r="P94" s="5">
        <f t="shared" ref="P94:R94" si="150">L94/L$78</f>
        <v>0.1877988174</v>
      </c>
      <c r="Q94" s="5">
        <f t="shared" si="150"/>
        <v>0.1808139417</v>
      </c>
      <c r="R94" s="5">
        <f t="shared" si="150"/>
        <v>0.1901978945</v>
      </c>
      <c r="S94" s="2"/>
      <c r="T94" s="2"/>
      <c r="U94" s="2"/>
      <c r="V94" s="2"/>
      <c r="W94" s="2"/>
      <c r="X94" s="2"/>
      <c r="Y94" s="2"/>
      <c r="Z94" s="2"/>
    </row>
    <row r="95" ht="13.5" customHeight="1">
      <c r="A95" s="2" t="s">
        <v>90</v>
      </c>
      <c r="B95" s="4">
        <v>699.0</v>
      </c>
      <c r="C95" s="4">
        <v>1132.0</v>
      </c>
      <c r="D95" s="4">
        <v>-5001.0</v>
      </c>
      <c r="E95" s="2"/>
      <c r="F95" s="5">
        <f t="shared" ref="F95:G95" si="151">B95/B$78</f>
        <v>0.01298701299</v>
      </c>
      <c r="G95" s="5">
        <f t="shared" si="151"/>
        <v>0.01389604969</v>
      </c>
      <c r="H95" s="5">
        <f t="shared" si="136"/>
        <v>-0.05167763736</v>
      </c>
      <c r="I95" s="2"/>
      <c r="J95" s="2"/>
      <c r="K95" s="2" t="s">
        <v>90</v>
      </c>
      <c r="L95" s="4">
        <v>14527.0</v>
      </c>
      <c r="M95" s="4">
        <v>19300.0</v>
      </c>
      <c r="N95" s="4">
        <v>16741.0</v>
      </c>
      <c r="O95" s="2"/>
      <c r="P95" s="5">
        <f t="shared" ref="P95:R95" si="152">L95/L$78</f>
        <v>0.03971111239</v>
      </c>
      <c r="Q95" s="5">
        <f t="shared" si="152"/>
        <v>0.04894402629</v>
      </c>
      <c r="R95" s="5">
        <f t="shared" si="152"/>
        <v>0.0436776811</v>
      </c>
      <c r="S95" s="2"/>
      <c r="T95" s="2"/>
      <c r="U95" s="2"/>
      <c r="V95" s="2"/>
      <c r="W95" s="2"/>
      <c r="X95" s="2"/>
      <c r="Y95" s="2"/>
      <c r="Z95" s="2"/>
    </row>
    <row r="96" ht="13.5" customHeight="1">
      <c r="A96" s="2" t="s">
        <v>91</v>
      </c>
      <c r="B96" s="4">
        <v>-149.0</v>
      </c>
      <c r="C96" s="4">
        <v>-196.0</v>
      </c>
      <c r="D96" s="4">
        <v>-6349.0</v>
      </c>
      <c r="E96" s="2"/>
      <c r="F96" s="5">
        <f t="shared" ref="F96:G96" si="153">B96/B$78</f>
        <v>-0.00276833324</v>
      </c>
      <c r="G96" s="5">
        <f t="shared" si="153"/>
        <v>-0.002406029805</v>
      </c>
      <c r="H96" s="5">
        <f t="shared" si="136"/>
        <v>-0.06560714249</v>
      </c>
      <c r="I96" s="2"/>
      <c r="J96" s="2"/>
      <c r="K96" s="2" t="s">
        <v>91</v>
      </c>
      <c r="L96" s="4">
        <v>-4774.0</v>
      </c>
      <c r="M96" s="4">
        <v>895.0</v>
      </c>
      <c r="N96" s="4">
        <v>-3024.0</v>
      </c>
      <c r="O96" s="2"/>
      <c r="P96" s="5">
        <f t="shared" ref="P96:R96" si="154">L96/L$78</f>
        <v>-0.01305024097</v>
      </c>
      <c r="Q96" s="5">
        <f t="shared" si="154"/>
        <v>0.002269684121</v>
      </c>
      <c r="R96" s="5">
        <f t="shared" si="154"/>
        <v>-0.007889690439</v>
      </c>
      <c r="S96" s="2"/>
      <c r="T96" s="2"/>
      <c r="U96" s="2"/>
      <c r="V96" s="2"/>
      <c r="W96" s="2"/>
      <c r="X96" s="2"/>
      <c r="Y96" s="2"/>
      <c r="Z96" s="2"/>
    </row>
    <row r="97" ht="13.5" customHeight="1">
      <c r="A97" s="2" t="s">
        <v>92</v>
      </c>
      <c r="B97" s="4">
        <v>0.0</v>
      </c>
      <c r="C97" s="4">
        <v>26.0</v>
      </c>
      <c r="D97" s="4">
        <v>-5246.0</v>
      </c>
      <c r="E97" s="2"/>
      <c r="F97" s="5">
        <f t="shared" ref="F97:G97" si="155">B97/B$78</f>
        <v>0</v>
      </c>
      <c r="G97" s="5">
        <f t="shared" si="155"/>
        <v>0.0003191672191</v>
      </c>
      <c r="H97" s="5">
        <f t="shared" si="136"/>
        <v>-0.05420933525</v>
      </c>
      <c r="I97" s="2"/>
      <c r="J97" s="2"/>
      <c r="K97" s="2" t="s">
        <v>92</v>
      </c>
      <c r="L97" s="4">
        <v>-7176.0</v>
      </c>
      <c r="M97" s="4">
        <v>-2265.0</v>
      </c>
      <c r="N97" s="4">
        <v>-3644.0</v>
      </c>
      <c r="O97" s="2"/>
      <c r="P97" s="5">
        <f t="shared" ref="P97:R97" si="156">L97/L$78</f>
        <v>-0.01961636556</v>
      </c>
      <c r="Q97" s="5">
        <f t="shared" si="156"/>
        <v>-0.0057439492</v>
      </c>
      <c r="R97" s="5">
        <f t="shared" si="156"/>
        <v>-0.009507285701</v>
      </c>
      <c r="S97" s="2"/>
      <c r="T97" s="2"/>
      <c r="U97" s="2"/>
      <c r="V97" s="2"/>
      <c r="W97" s="2"/>
      <c r="X97" s="2"/>
      <c r="Y97" s="2"/>
      <c r="Z97" s="2"/>
    </row>
    <row r="98" ht="13.5" customHeight="1">
      <c r="A98" s="2" t="s">
        <v>93</v>
      </c>
      <c r="B98" s="4">
        <v>-149.0</v>
      </c>
      <c r="C98" s="4">
        <v>-223.0</v>
      </c>
      <c r="D98" s="4">
        <v>-450.0</v>
      </c>
      <c r="E98" s="2"/>
      <c r="F98" s="5">
        <f t="shared" ref="F98:G98" si="157">B98/B$78</f>
        <v>-0.00276833324</v>
      </c>
      <c r="G98" s="5">
        <f t="shared" si="157"/>
        <v>-0.002737472687</v>
      </c>
      <c r="H98" s="5">
        <f t="shared" si="136"/>
        <v>-0.004650057351</v>
      </c>
      <c r="I98" s="2"/>
      <c r="J98" s="2"/>
      <c r="K98" s="2" t="s">
        <v>93</v>
      </c>
      <c r="L98" s="4">
        <v>2740.0</v>
      </c>
      <c r="M98" s="4">
        <v>3076.0</v>
      </c>
      <c r="N98" s="4">
        <v>669.0</v>
      </c>
      <c r="O98" s="2"/>
      <c r="P98" s="5">
        <f t="shared" ref="P98:R98" si="158">L98/L$78</f>
        <v>0.00749008384</v>
      </c>
      <c r="Q98" s="5">
        <f t="shared" si="158"/>
        <v>0.007800612688</v>
      </c>
      <c r="R98" s="5">
        <f t="shared" si="158"/>
        <v>0.001745437468</v>
      </c>
      <c r="S98" s="2"/>
      <c r="T98" s="2"/>
      <c r="U98" s="2"/>
      <c r="V98" s="2"/>
      <c r="W98" s="2"/>
      <c r="X98" s="2"/>
      <c r="Y98" s="2"/>
      <c r="Z98" s="2"/>
    </row>
    <row r="99" ht="13.5" customHeight="1">
      <c r="A99" s="2" t="s">
        <v>94</v>
      </c>
      <c r="B99" s="4">
        <v>0.0</v>
      </c>
      <c r="C99" s="4">
        <v>1.0</v>
      </c>
      <c r="D99" s="4">
        <v>-653.0</v>
      </c>
      <c r="E99" s="2"/>
      <c r="F99" s="5">
        <f t="shared" ref="F99:G99" si="159">B99/B$78</f>
        <v>0</v>
      </c>
      <c r="G99" s="5">
        <f t="shared" si="159"/>
        <v>0.00001227566227</v>
      </c>
      <c r="H99" s="5">
        <f t="shared" si="136"/>
        <v>-0.006747749889</v>
      </c>
      <c r="I99" s="2"/>
      <c r="J99" s="2"/>
      <c r="K99" s="2" t="s">
        <v>94</v>
      </c>
      <c r="L99" s="4">
        <v>-338.0</v>
      </c>
      <c r="M99" s="4">
        <v>84.0</v>
      </c>
      <c r="N99" s="4">
        <v>-49.0</v>
      </c>
      <c r="O99" s="2"/>
      <c r="P99" s="5">
        <f t="shared" ref="P99:R99" si="160">L99/L$78</f>
        <v>-0.0009239592474</v>
      </c>
      <c r="Q99" s="5">
        <f t="shared" si="160"/>
        <v>0.0002130206326</v>
      </c>
      <c r="R99" s="5">
        <f t="shared" si="160"/>
        <v>-0.0001278422062</v>
      </c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 t="s">
        <v>95</v>
      </c>
      <c r="B100" s="4">
        <v>0.0</v>
      </c>
      <c r="C100" s="4">
        <v>0.0</v>
      </c>
      <c r="D100" s="4">
        <v>48.0</v>
      </c>
      <c r="E100" s="2"/>
      <c r="F100" s="5">
        <f t="shared" ref="F100:G100" si="161">B100/B$78</f>
        <v>0</v>
      </c>
      <c r="G100" s="5">
        <f t="shared" si="161"/>
        <v>0</v>
      </c>
      <c r="H100" s="5">
        <f t="shared" si="136"/>
        <v>0.0004960061174</v>
      </c>
      <c r="I100" s="2"/>
      <c r="J100" s="2"/>
      <c r="K100" s="2" t="s">
        <v>95</v>
      </c>
      <c r="L100" s="4">
        <v>8257.0</v>
      </c>
      <c r="M100" s="4">
        <v>7890.0</v>
      </c>
      <c r="N100" s="4">
        <v>9445.0</v>
      </c>
      <c r="O100" s="2"/>
      <c r="P100" s="5">
        <f t="shared" ref="P100:R100" si="162">L100/L$78</f>
        <v>0.02257139499</v>
      </c>
      <c r="Q100" s="5">
        <f t="shared" si="162"/>
        <v>0.0200087237</v>
      </c>
      <c r="R100" s="5">
        <f t="shared" si="162"/>
        <v>0.0246422375</v>
      </c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 t="s">
        <v>96</v>
      </c>
      <c r="B101" s="4">
        <v>839.0</v>
      </c>
      <c r="C101" s="4">
        <v>1266.0</v>
      </c>
      <c r="D101" s="4">
        <v>1243.0</v>
      </c>
      <c r="E101" s="2"/>
      <c r="F101" s="5">
        <f t="shared" ref="F101:G101" si="163">B101/B$78</f>
        <v>0.01558813147</v>
      </c>
      <c r="G101" s="5">
        <f t="shared" si="163"/>
        <v>0.01554098844</v>
      </c>
      <c r="H101" s="5">
        <f t="shared" si="136"/>
        <v>0.01284449175</v>
      </c>
      <c r="I101" s="2"/>
      <c r="J101" s="2"/>
      <c r="K101" s="2" t="s">
        <v>96</v>
      </c>
      <c r="L101" s="4">
        <v>9424.0</v>
      </c>
      <c r="M101" s="4">
        <v>8996.0</v>
      </c>
      <c r="N101" s="4">
        <v>8750.0</v>
      </c>
      <c r="O101" s="2"/>
      <c r="P101" s="5">
        <f t="shared" ref="P101:R101" si="164">L101/L$78</f>
        <v>0.02576151464</v>
      </c>
      <c r="Q101" s="5">
        <f t="shared" si="164"/>
        <v>0.02281349536</v>
      </c>
      <c r="R101" s="5">
        <f t="shared" si="164"/>
        <v>0.02282896539</v>
      </c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 t="s">
        <v>97</v>
      </c>
      <c r="B102" s="4">
        <v>9.0</v>
      </c>
      <c r="C102" s="4">
        <v>62.0</v>
      </c>
      <c r="D102" s="4">
        <v>57.0</v>
      </c>
      <c r="E102" s="2"/>
      <c r="F102" s="5">
        <f t="shared" ref="F102:G102" si="165">B102/B$78</f>
        <v>0.0001672147595</v>
      </c>
      <c r="G102" s="5">
        <f t="shared" si="165"/>
        <v>0.0007610910609</v>
      </c>
      <c r="H102" s="5">
        <f t="shared" si="136"/>
        <v>0.0005890072644</v>
      </c>
      <c r="I102" s="2"/>
      <c r="J102" s="2"/>
      <c r="K102" s="2" t="s">
        <v>97</v>
      </c>
      <c r="L102" s="4">
        <v>1620.0</v>
      </c>
      <c r="M102" s="4">
        <v>1519.0</v>
      </c>
      <c r="N102" s="4">
        <v>1570.0</v>
      </c>
      <c r="O102" s="2"/>
      <c r="P102" s="5">
        <f t="shared" ref="P102:R102" si="166">L102/L$78</f>
        <v>0.00442844373</v>
      </c>
      <c r="Q102" s="5">
        <f t="shared" si="166"/>
        <v>0.003852123106</v>
      </c>
      <c r="R102" s="5">
        <f t="shared" si="166"/>
        <v>0.004096168647</v>
      </c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 t="s">
        <v>98</v>
      </c>
      <c r="B103" s="4">
        <v>0.0</v>
      </c>
      <c r="C103" s="4">
        <v>0.0</v>
      </c>
      <c r="D103" s="4">
        <v>0.0</v>
      </c>
      <c r="E103" s="2"/>
      <c r="F103" s="5">
        <f t="shared" ref="F103:G103" si="167">B103/B$78</f>
        <v>0</v>
      </c>
      <c r="G103" s="5">
        <f t="shared" si="167"/>
        <v>0</v>
      </c>
      <c r="H103" s="5">
        <f t="shared" si="136"/>
        <v>0</v>
      </c>
      <c r="I103" s="2"/>
      <c r="J103" s="2"/>
      <c r="K103" s="2" t="s">
        <v>98</v>
      </c>
      <c r="L103" s="4">
        <v>0.0</v>
      </c>
      <c r="M103" s="4">
        <v>0.0</v>
      </c>
      <c r="N103" s="4">
        <v>0.0</v>
      </c>
      <c r="O103" s="2"/>
      <c r="P103" s="5">
        <f t="shared" ref="P103:R103" si="168">L103/L$78</f>
        <v>0</v>
      </c>
      <c r="Q103" s="5">
        <f t="shared" si="168"/>
        <v>0</v>
      </c>
      <c r="R103" s="5">
        <f t="shared" si="168"/>
        <v>0</v>
      </c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 t="s">
        <v>99</v>
      </c>
      <c r="B104" s="4">
        <v>125.0</v>
      </c>
      <c r="C104" s="4">
        <v>31.0</v>
      </c>
      <c r="D104" s="4">
        <v>-23.0</v>
      </c>
      <c r="E104" s="2"/>
      <c r="F104" s="5">
        <f t="shared" ref="F104:G104" si="169">B104/B$78</f>
        <v>0.002322427215</v>
      </c>
      <c r="G104" s="5">
        <f t="shared" si="169"/>
        <v>0.0003805455304</v>
      </c>
      <c r="H104" s="5">
        <f t="shared" si="136"/>
        <v>-0.0002376695979</v>
      </c>
      <c r="I104" s="2"/>
      <c r="J104" s="2"/>
      <c r="K104" s="2" t="s">
        <v>99</v>
      </c>
      <c r="L104" s="4">
        <v>0.0</v>
      </c>
      <c r="M104" s="4">
        <v>0.0</v>
      </c>
      <c r="N104" s="4">
        <v>0.0</v>
      </c>
      <c r="O104" s="2"/>
      <c r="P104" s="5">
        <f t="shared" ref="P104:R104" si="170">L104/L$78</f>
        <v>0</v>
      </c>
      <c r="Q104" s="5">
        <f t="shared" si="170"/>
        <v>0</v>
      </c>
      <c r="R104" s="5">
        <f t="shared" si="170"/>
        <v>0</v>
      </c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 t="s">
        <v>100</v>
      </c>
      <c r="B105" s="4">
        <v>5519.0</v>
      </c>
      <c r="C105" s="4">
        <v>12556.0</v>
      </c>
      <c r="D105" s="4">
        <v>14997.0</v>
      </c>
      <c r="E105" s="2"/>
      <c r="F105" s="5">
        <f t="shared" ref="F105:G105" si="171">B105/B$78</f>
        <v>0.1025398064</v>
      </c>
      <c r="G105" s="5">
        <f t="shared" si="171"/>
        <v>0.1541332155</v>
      </c>
      <c r="H105" s="5">
        <f t="shared" si="136"/>
        <v>0.1549709113</v>
      </c>
      <c r="I105" s="2"/>
      <c r="J105" s="2"/>
      <c r="K105" s="2" t="s">
        <v>100</v>
      </c>
      <c r="L105" s="4">
        <v>94680.0</v>
      </c>
      <c r="M105" s="4">
        <v>99803.0</v>
      </c>
      <c r="N105" s="4">
        <v>96995.0</v>
      </c>
      <c r="O105" s="2"/>
      <c r="P105" s="5">
        <f t="shared" ref="P105:R105" si="172">L105/L$78</f>
        <v>0.2588179336</v>
      </c>
      <c r="Q105" s="5">
        <f t="shared" si="172"/>
        <v>0.2530964071</v>
      </c>
      <c r="R105" s="5">
        <f t="shared" si="172"/>
        <v>0.2530623426</v>
      </c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 t="s">
        <v>101</v>
      </c>
      <c r="B106" s="4">
        <v>0.0</v>
      </c>
      <c r="C106" s="4">
        <v>0.0</v>
      </c>
      <c r="D106" s="4">
        <v>0.0</v>
      </c>
      <c r="E106" s="2"/>
      <c r="F106" s="5">
        <f t="shared" ref="F106:G106" si="173">B106/B$78</f>
        <v>0</v>
      </c>
      <c r="G106" s="5">
        <f t="shared" si="173"/>
        <v>0</v>
      </c>
      <c r="H106" s="5">
        <f t="shared" si="136"/>
        <v>0</v>
      </c>
      <c r="I106" s="2"/>
      <c r="J106" s="2"/>
      <c r="K106" s="2" t="s">
        <v>101</v>
      </c>
      <c r="L106" s="4">
        <v>0.0</v>
      </c>
      <c r="M106" s="4">
        <v>0.0</v>
      </c>
      <c r="N106" s="4">
        <v>0.0</v>
      </c>
      <c r="O106" s="2"/>
      <c r="P106" s="5">
        <f t="shared" ref="P106:R106" si="174">L106/L$78</f>
        <v>0</v>
      </c>
      <c r="Q106" s="5">
        <f t="shared" si="174"/>
        <v>0</v>
      </c>
      <c r="R106" s="5">
        <f t="shared" si="174"/>
        <v>0</v>
      </c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 t="s">
        <v>102</v>
      </c>
      <c r="B107" s="4">
        <v>5519.0</v>
      </c>
      <c r="C107" s="4">
        <v>12556.0</v>
      </c>
      <c r="D107" s="4">
        <v>14997.0</v>
      </c>
      <c r="E107" s="2"/>
      <c r="F107" s="5">
        <f t="shared" ref="F107:G107" si="175">B107/B$78</f>
        <v>0.1025398064</v>
      </c>
      <c r="G107" s="5">
        <f t="shared" si="175"/>
        <v>0.1541332155</v>
      </c>
      <c r="H107" s="5">
        <f t="shared" si="136"/>
        <v>0.1549709113</v>
      </c>
      <c r="I107" s="2"/>
      <c r="J107" s="2"/>
      <c r="K107" s="2" t="s">
        <v>102</v>
      </c>
      <c r="L107" s="4">
        <v>94680.0</v>
      </c>
      <c r="M107" s="4">
        <v>99803.0</v>
      </c>
      <c r="N107" s="4">
        <v>96995.0</v>
      </c>
      <c r="O107" s="2"/>
      <c r="P107" s="5">
        <f t="shared" ref="P107:R107" si="176">L107/L$78</f>
        <v>0.2588179336</v>
      </c>
      <c r="Q107" s="5">
        <f t="shared" si="176"/>
        <v>0.2530964071</v>
      </c>
      <c r="R107" s="5">
        <f t="shared" si="176"/>
        <v>0.2530623426</v>
      </c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 t="s">
        <v>103</v>
      </c>
      <c r="B108" s="4">
        <v>5.0</v>
      </c>
      <c r="C108" s="4">
        <v>27.0</v>
      </c>
      <c r="D108" s="4">
        <v>2.0</v>
      </c>
      <c r="E108" s="2"/>
      <c r="F108" s="5">
        <f t="shared" ref="F108:G108" si="177">B108/B$78</f>
        <v>0.00009289708861</v>
      </c>
      <c r="G108" s="5">
        <f t="shared" si="177"/>
        <v>0.0003314428813</v>
      </c>
      <c r="H108" s="5">
        <f t="shared" si="136"/>
        <v>0.00002066692156</v>
      </c>
      <c r="I108" s="2"/>
      <c r="J108" s="2"/>
      <c r="K108" s="2" t="s">
        <v>103</v>
      </c>
      <c r="L108" s="4">
        <v>0.0</v>
      </c>
      <c r="M108" s="4">
        <v>0.0</v>
      </c>
      <c r="N108" s="4">
        <v>0.0</v>
      </c>
      <c r="O108" s="2"/>
      <c r="P108" s="5">
        <f t="shared" ref="P108:R108" si="178">L108/L$78</f>
        <v>0</v>
      </c>
      <c r="Q108" s="5">
        <f t="shared" si="178"/>
        <v>0</v>
      </c>
      <c r="R108" s="5">
        <f t="shared" si="178"/>
        <v>0</v>
      </c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 t="s">
        <v>104</v>
      </c>
      <c r="B109" s="4">
        <v>5524.0</v>
      </c>
      <c r="C109" s="4">
        <v>12583.0</v>
      </c>
      <c r="D109" s="4">
        <v>14999.0</v>
      </c>
      <c r="E109" s="2"/>
      <c r="F109" s="5">
        <f t="shared" ref="F109:G109" si="179">B109/B$78</f>
        <v>0.1026327035</v>
      </c>
      <c r="G109" s="5">
        <f t="shared" si="179"/>
        <v>0.1544646584</v>
      </c>
      <c r="H109" s="5">
        <f t="shared" si="136"/>
        <v>0.1549915782</v>
      </c>
      <c r="I109" s="2"/>
      <c r="J109" s="2"/>
      <c r="K109" s="2" t="s">
        <v>104</v>
      </c>
      <c r="L109" s="4">
        <v>94680.0</v>
      </c>
      <c r="M109" s="4">
        <v>99803.0</v>
      </c>
      <c r="N109" s="4">
        <v>96995.0</v>
      </c>
      <c r="O109" s="2"/>
      <c r="P109" s="5">
        <f t="shared" ref="P109:R109" si="180">L109/L$78</f>
        <v>0.2588179336</v>
      </c>
      <c r="Q109" s="5">
        <f t="shared" si="180"/>
        <v>0.2530964071</v>
      </c>
      <c r="R109" s="5">
        <f t="shared" si="180"/>
        <v>0.2530623426</v>
      </c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 t="s">
        <v>105</v>
      </c>
      <c r="B110" s="4">
        <v>0.0</v>
      </c>
      <c r="C110" s="4">
        <v>0.0</v>
      </c>
      <c r="D110" s="4">
        <v>0.0</v>
      </c>
      <c r="E110" s="2"/>
      <c r="F110" s="5">
        <f t="shared" ref="F110:G110" si="181">B110/B$78</f>
        <v>0</v>
      </c>
      <c r="G110" s="5">
        <f t="shared" si="181"/>
        <v>0</v>
      </c>
      <c r="H110" s="5">
        <f t="shared" si="136"/>
        <v>0</v>
      </c>
      <c r="I110" s="2"/>
      <c r="J110" s="2"/>
      <c r="K110" s="2" t="s">
        <v>105</v>
      </c>
      <c r="L110" s="4">
        <v>0.0</v>
      </c>
      <c r="M110" s="4">
        <v>0.0</v>
      </c>
      <c r="N110" s="4">
        <v>0.0</v>
      </c>
      <c r="O110" s="2"/>
      <c r="P110" s="5">
        <f t="shared" ref="P110:R110" si="182">L110/L$78</f>
        <v>0</v>
      </c>
      <c r="Q110" s="5">
        <f t="shared" si="182"/>
        <v>0</v>
      </c>
      <c r="R110" s="5">
        <f t="shared" si="182"/>
        <v>0</v>
      </c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 t="s">
        <v>106</v>
      </c>
      <c r="B111" s="4">
        <v>0.0</v>
      </c>
      <c r="C111" s="4">
        <v>0.0</v>
      </c>
      <c r="D111" s="4">
        <v>0.0</v>
      </c>
      <c r="E111" s="2"/>
      <c r="F111" s="5">
        <f t="shared" ref="F111:G111" si="183">B111/B$78</f>
        <v>0</v>
      </c>
      <c r="G111" s="5">
        <f t="shared" si="183"/>
        <v>0</v>
      </c>
      <c r="H111" s="5">
        <f t="shared" si="136"/>
        <v>0</v>
      </c>
      <c r="I111" s="2"/>
      <c r="J111" s="2"/>
      <c r="K111" s="2" t="s">
        <v>106</v>
      </c>
      <c r="L111" s="4">
        <v>0.0</v>
      </c>
      <c r="M111" s="4">
        <v>0.0</v>
      </c>
      <c r="N111" s="4">
        <v>0.0</v>
      </c>
      <c r="O111" s="2"/>
      <c r="P111" s="5">
        <f t="shared" ref="P111:R111" si="184">L111/L$78</f>
        <v>0</v>
      </c>
      <c r="Q111" s="5">
        <f t="shared" si="184"/>
        <v>0</v>
      </c>
      <c r="R111" s="5">
        <f t="shared" si="184"/>
        <v>0</v>
      </c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 t="s">
        <v>107</v>
      </c>
      <c r="B112" s="4">
        <v>0.0</v>
      </c>
      <c r="C112" s="4">
        <v>0.0</v>
      </c>
      <c r="D112" s="4">
        <v>0.0</v>
      </c>
      <c r="E112" s="2"/>
      <c r="F112" s="5">
        <f t="shared" ref="F112:G112" si="185">B112/B$78</f>
        <v>0</v>
      </c>
      <c r="G112" s="5">
        <f t="shared" si="185"/>
        <v>0</v>
      </c>
      <c r="H112" s="5">
        <f t="shared" si="136"/>
        <v>0</v>
      </c>
      <c r="I112" s="2"/>
      <c r="J112" s="2"/>
      <c r="K112" s="2" t="s">
        <v>107</v>
      </c>
      <c r="L112" s="4">
        <v>0.0</v>
      </c>
      <c r="M112" s="4">
        <v>0.0</v>
      </c>
      <c r="N112" s="4">
        <v>0.0</v>
      </c>
      <c r="O112" s="2"/>
      <c r="P112" s="5">
        <f t="shared" ref="P112:R112" si="186">L112/L$78</f>
        <v>0</v>
      </c>
      <c r="Q112" s="5">
        <f t="shared" si="186"/>
        <v>0</v>
      </c>
      <c r="R112" s="5">
        <f t="shared" si="186"/>
        <v>0</v>
      </c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 t="s">
        <v>108</v>
      </c>
      <c r="B113" s="4">
        <v>5524.0</v>
      </c>
      <c r="C113" s="4">
        <v>12583.0</v>
      </c>
      <c r="D113" s="4">
        <v>14999.0</v>
      </c>
      <c r="E113" s="2"/>
      <c r="F113" s="5">
        <f t="shared" ref="F113:G113" si="187">B113/B$78</f>
        <v>0.1026327035</v>
      </c>
      <c r="G113" s="5">
        <f t="shared" si="187"/>
        <v>0.1544646584</v>
      </c>
      <c r="H113" s="5">
        <f t="shared" si="136"/>
        <v>0.1549915782</v>
      </c>
      <c r="I113" s="2"/>
      <c r="J113" s="2"/>
      <c r="K113" s="2" t="s">
        <v>108</v>
      </c>
      <c r="L113" s="4">
        <v>94680.0</v>
      </c>
      <c r="M113" s="4">
        <v>99803.0</v>
      </c>
      <c r="N113" s="4">
        <v>96995.0</v>
      </c>
      <c r="O113" s="2"/>
      <c r="P113" s="5">
        <f t="shared" ref="P113:R113" si="188">L113/L$78</f>
        <v>0.2588179336</v>
      </c>
      <c r="Q113" s="5">
        <f t="shared" si="188"/>
        <v>0.2530964071</v>
      </c>
      <c r="R113" s="5">
        <f t="shared" si="188"/>
        <v>0.2530623426</v>
      </c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9" t="s">
        <v>109</v>
      </c>
      <c r="B114" s="10">
        <v>5519.0</v>
      </c>
      <c r="C114" s="10">
        <v>12556.0</v>
      </c>
      <c r="D114" s="10">
        <v>14997.0</v>
      </c>
      <c r="E114" s="9"/>
      <c r="F114" s="11">
        <f t="shared" ref="F114:G114" si="189">B114/B$78</f>
        <v>0.1025398064</v>
      </c>
      <c r="G114" s="11">
        <f t="shared" si="189"/>
        <v>0.1541332155</v>
      </c>
      <c r="H114" s="12">
        <f t="shared" si="136"/>
        <v>0.1549709113</v>
      </c>
      <c r="I114" s="9" t="s">
        <v>110</v>
      </c>
      <c r="J114" s="9"/>
      <c r="K114" s="9" t="s">
        <v>109</v>
      </c>
      <c r="L114" s="10">
        <v>94680.0</v>
      </c>
      <c r="M114" s="10">
        <v>99803.0</v>
      </c>
      <c r="N114" s="10">
        <v>96995.0</v>
      </c>
      <c r="O114" s="9"/>
      <c r="P114" s="11">
        <f t="shared" ref="P114:R114" si="190">L114/L$78</f>
        <v>0.2588179336</v>
      </c>
      <c r="Q114" s="11">
        <f t="shared" si="190"/>
        <v>0.2530964071</v>
      </c>
      <c r="R114" s="12">
        <f t="shared" si="190"/>
        <v>0.2530623426</v>
      </c>
      <c r="S114" s="9" t="s">
        <v>110</v>
      </c>
      <c r="T114" s="1"/>
      <c r="U114" s="1"/>
      <c r="V114" s="1"/>
      <c r="W114" s="1"/>
      <c r="X114" s="1"/>
      <c r="Y114" s="1"/>
      <c r="Z114" s="1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2024-07-08T16:06:23Z</dcterms:created>
  <dc:creator>Anderson, Kelley Brooke</dc:creator>
</cp:coreProperties>
</file>